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12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zhang/Desktop/OfferBang/金融市场基础班/Live4 - Final Project/"/>
    </mc:Choice>
  </mc:AlternateContent>
  <xr:revisionPtr revIDLastSave="0" documentId="13_ncr:1_{D4EE912E-C435-DE4E-AFA7-CE9B289787A8}" xr6:coauthVersionLast="45" xr6:coauthVersionMax="45" xr10:uidLastSave="{00000000-0000-0000-0000-000000000000}"/>
  <bookViews>
    <workbookView xWindow="-35880" yWindow="840" windowWidth="36340" windowHeight="18880" activeTab="1" xr2:uid="{00000000-000D-0000-FFFF-FFFF00000000}"/>
  </bookViews>
  <sheets>
    <sheet name="Basic" sheetId="5" r:id="rId1"/>
    <sheet name="Case1" sheetId="6" r:id="rId2"/>
    <sheet name="Case2" sheetId="8" r:id="rId3"/>
    <sheet name="Case3" sheetId="9" r:id="rId4"/>
    <sheet name="Sheet3" sheetId="12" r:id="rId5"/>
    <sheet name="Sheet2" sheetId="11" r:id="rId6"/>
    <sheet name="Sheet1" sheetId="10" r:id="rId7"/>
  </sheets>
  <functionGroups builtInGroupCount="19"/>
  <definedNames>
    <definedName name="Dividend">Basic!$B$8</definedName>
    <definedName name="RiskFreeRate">Basic!$B$7</definedName>
    <definedName name="StockPrice">Basic!$B$3</definedName>
    <definedName name="StrikePrice">Basic!$B$4</definedName>
    <definedName name="TimeToExpiry">Basic!$B$5</definedName>
    <definedName name="Volatility">Basic!$B$6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9" i="10" l="1"/>
  <c r="R8" i="10"/>
  <c r="R9" i="10"/>
  <c r="R10" i="10"/>
  <c r="R7" i="10"/>
  <c r="Q11" i="10"/>
  <c r="R2" i="10"/>
  <c r="E25" i="10"/>
  <c r="E24" i="10"/>
  <c r="E23" i="10"/>
  <c r="F19" i="10"/>
  <c r="F18" i="10"/>
  <c r="D25" i="10"/>
  <c r="H12" i="10"/>
  <c r="H11" i="10"/>
  <c r="H5" i="10"/>
  <c r="H10" i="10"/>
  <c r="D11" i="10"/>
  <c r="D10" i="10"/>
  <c r="D5" i="10"/>
  <c r="R11" i="10" l="1"/>
  <c r="J33" i="9"/>
  <c r="H33" i="9"/>
  <c r="D33" i="9"/>
  <c r="H32" i="9"/>
  <c r="D32" i="9"/>
  <c r="H31" i="9"/>
  <c r="D31" i="9"/>
  <c r="H30" i="9"/>
  <c r="D30" i="9"/>
  <c r="H29" i="9"/>
  <c r="D29" i="9"/>
  <c r="H28" i="9"/>
  <c r="D28" i="9"/>
  <c r="H27" i="9"/>
  <c r="D27" i="9"/>
  <c r="H26" i="9"/>
  <c r="D26" i="9"/>
  <c r="H25" i="9"/>
  <c r="D25" i="9"/>
  <c r="H24" i="9"/>
  <c r="D24" i="9"/>
  <c r="H23" i="9"/>
  <c r="D23" i="9"/>
  <c r="H22" i="9"/>
  <c r="D22" i="9"/>
  <c r="H21" i="9"/>
  <c r="D21" i="9"/>
  <c r="H20" i="9"/>
  <c r="D20" i="9"/>
  <c r="H19" i="9"/>
  <c r="D19" i="9"/>
  <c r="H18" i="9"/>
  <c r="D18" i="9"/>
  <c r="H17" i="9"/>
  <c r="D17" i="9"/>
  <c r="H16" i="9"/>
  <c r="D16" i="9"/>
  <c r="H15" i="9"/>
  <c r="D15" i="9"/>
  <c r="H14" i="9"/>
  <c r="D14" i="9"/>
  <c r="H13" i="9"/>
  <c r="D13" i="9"/>
  <c r="H12" i="9"/>
  <c r="D12" i="9"/>
  <c r="H11" i="9"/>
  <c r="D11" i="9"/>
  <c r="H10" i="9"/>
  <c r="D10" i="9"/>
  <c r="H9" i="9"/>
  <c r="D9" i="9"/>
  <c r="H8" i="9"/>
  <c r="D8" i="9"/>
  <c r="H7" i="9"/>
  <c r="D7" i="9"/>
  <c r="H6" i="9"/>
  <c r="D6" i="9"/>
  <c r="B6" i="9"/>
  <c r="I3" i="9" s="1"/>
  <c r="H5" i="9"/>
  <c r="E5" i="9"/>
  <c r="E6" i="9" s="1"/>
  <c r="E7" i="9" s="1"/>
  <c r="E8" i="9" s="1"/>
  <c r="E9" i="9" s="1"/>
  <c r="E10" i="9" s="1"/>
  <c r="E11" i="9" s="1"/>
  <c r="E12" i="9" s="1"/>
  <c r="E13" i="9" s="1"/>
  <c r="E14" i="9" s="1"/>
  <c r="E15" i="9" s="1"/>
  <c r="E16" i="9" s="1"/>
  <c r="E17" i="9" s="1"/>
  <c r="E18" i="9" s="1"/>
  <c r="E19" i="9" s="1"/>
  <c r="E20" i="9" s="1"/>
  <c r="E21" i="9" s="1"/>
  <c r="E22" i="9" s="1"/>
  <c r="E23" i="9" s="1"/>
  <c r="E24" i="9" s="1"/>
  <c r="E25" i="9" s="1"/>
  <c r="E26" i="9" s="1"/>
  <c r="E27" i="9" s="1"/>
  <c r="E28" i="9" s="1"/>
  <c r="E29" i="9" s="1"/>
  <c r="E30" i="9" s="1"/>
  <c r="E31" i="9" s="1"/>
  <c r="E32" i="9" s="1"/>
  <c r="E33" i="9" s="1"/>
  <c r="D5" i="9"/>
  <c r="H4" i="9"/>
  <c r="D4" i="9"/>
  <c r="D3" i="9"/>
  <c r="C3" i="9"/>
  <c r="C4" i="9" s="1"/>
  <c r="C5" i="9" s="1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C33" i="9" s="1"/>
  <c r="C4" i="8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C28" i="8" s="1"/>
  <c r="C29" i="8" s="1"/>
  <c r="C30" i="8" s="1"/>
  <c r="C31" i="8" s="1"/>
  <c r="C32" i="8" s="1"/>
  <c r="C33" i="8" s="1"/>
  <c r="J33" i="8"/>
  <c r="H33" i="8"/>
  <c r="D33" i="8"/>
  <c r="H32" i="8"/>
  <c r="D32" i="8"/>
  <c r="H31" i="8"/>
  <c r="D31" i="8"/>
  <c r="H30" i="8"/>
  <c r="D30" i="8"/>
  <c r="H29" i="8"/>
  <c r="D29" i="8"/>
  <c r="H28" i="8"/>
  <c r="D28" i="8"/>
  <c r="H27" i="8"/>
  <c r="D27" i="8"/>
  <c r="H26" i="8"/>
  <c r="D26" i="8"/>
  <c r="H25" i="8"/>
  <c r="D25" i="8"/>
  <c r="H24" i="8"/>
  <c r="D24" i="8"/>
  <c r="H23" i="8"/>
  <c r="D23" i="8"/>
  <c r="H22" i="8"/>
  <c r="D22" i="8"/>
  <c r="H21" i="8"/>
  <c r="D21" i="8"/>
  <c r="H20" i="8"/>
  <c r="D20" i="8"/>
  <c r="H19" i="8"/>
  <c r="D19" i="8"/>
  <c r="H18" i="8"/>
  <c r="D18" i="8"/>
  <c r="H17" i="8"/>
  <c r="D17" i="8"/>
  <c r="H16" i="8"/>
  <c r="D16" i="8"/>
  <c r="H15" i="8"/>
  <c r="D15" i="8"/>
  <c r="H14" i="8"/>
  <c r="D14" i="8"/>
  <c r="H13" i="8"/>
  <c r="D13" i="8"/>
  <c r="H12" i="8"/>
  <c r="D12" i="8"/>
  <c r="H11" i="8"/>
  <c r="D11" i="8"/>
  <c r="H10" i="8"/>
  <c r="D10" i="8"/>
  <c r="H9" i="8"/>
  <c r="D9" i="8"/>
  <c r="H8" i="8"/>
  <c r="D8" i="8"/>
  <c r="H7" i="8"/>
  <c r="D7" i="8"/>
  <c r="H6" i="8"/>
  <c r="D6" i="8"/>
  <c r="B6" i="8"/>
  <c r="I3" i="8" s="1"/>
  <c r="I5" i="8"/>
  <c r="H5" i="8"/>
  <c r="E5" i="8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E24" i="8" s="1"/>
  <c r="E25" i="8" s="1"/>
  <c r="E26" i="8" s="1"/>
  <c r="E27" i="8" s="1"/>
  <c r="E28" i="8" s="1"/>
  <c r="E29" i="8" s="1"/>
  <c r="E30" i="8" s="1"/>
  <c r="E31" i="8" s="1"/>
  <c r="E32" i="8" s="1"/>
  <c r="E33" i="8" s="1"/>
  <c r="D5" i="8"/>
  <c r="I4" i="8"/>
  <c r="H4" i="8"/>
  <c r="D4" i="8"/>
  <c r="D3" i="8"/>
  <c r="C3" i="8"/>
  <c r="J33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B6" i="6"/>
  <c r="I3" i="6" s="1"/>
  <c r="E5" i="6"/>
  <c r="E6" i="6" s="1"/>
  <c r="E7" i="6" s="1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F5" i="5"/>
  <c r="E5" i="5"/>
  <c r="J4" i="8" a="1"/>
  <c r="Q3" i="8" a="1"/>
  <c r="R5" i="8" a="1"/>
  <c r="R4" i="8" a="1"/>
  <c r="P3" i="9" a="1"/>
  <c r="J3" i="9" a="1"/>
  <c r="E6" i="5"/>
  <c r="K3" i="6" a="1"/>
  <c r="E7" i="5"/>
  <c r="J3" i="6" a="1"/>
  <c r="R3" i="6" a="1"/>
  <c r="P3" i="6" a="1"/>
  <c r="E8" i="5"/>
  <c r="P3" i="8" a="1"/>
  <c r="F4" i="5"/>
  <c r="K3" i="9" a="1"/>
  <c r="K3" i="8" a="1"/>
  <c r="Q5" i="8" a="1"/>
  <c r="K5" i="8" a="1"/>
  <c r="Q4" i="8" a="1"/>
  <c r="K4" i="8" a="1"/>
  <c r="R3" i="8" a="1"/>
  <c r="J3" i="8" a="1"/>
  <c r="P5" i="8" a="1"/>
  <c r="J5" i="8" a="1"/>
  <c r="F8" i="5"/>
  <c r="Q3" i="9" a="1"/>
  <c r="F7" i="5"/>
  <c r="E4" i="5"/>
  <c r="E3" i="5"/>
  <c r="P4" i="8" a="1"/>
  <c r="R3" i="9" a="1"/>
  <c r="Q3" i="6" a="1"/>
  <c r="F3" i="5"/>
  <c r="F6" i="5"/>
  <c r="P3" i="9" l="1"/>
  <c r="S4" i="9" s="1"/>
  <c r="Q3" i="9"/>
  <c r="T4" i="9" s="1"/>
  <c r="R3" i="9"/>
  <c r="U4" i="9" s="1"/>
  <c r="J3" i="9"/>
  <c r="K3" i="9"/>
  <c r="I4" i="9"/>
  <c r="I5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P3" i="8"/>
  <c r="S4" i="8" s="1"/>
  <c r="R4" i="8"/>
  <c r="U5" i="8" s="1"/>
  <c r="R5" i="8"/>
  <c r="U6" i="8" s="1"/>
  <c r="Q3" i="8"/>
  <c r="T4" i="8" s="1"/>
  <c r="J4" i="8"/>
  <c r="P4" i="8"/>
  <c r="S5" i="8" s="1"/>
  <c r="J5" i="8"/>
  <c r="P5" i="8"/>
  <c r="S6" i="8" s="1"/>
  <c r="J3" i="8"/>
  <c r="R3" i="8"/>
  <c r="U4" i="8" s="1"/>
  <c r="K4" i="8"/>
  <c r="Q4" i="8"/>
  <c r="T5" i="8" s="1"/>
  <c r="K5" i="8"/>
  <c r="Q5" i="8"/>
  <c r="T6" i="8" s="1"/>
  <c r="K3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R3" i="6"/>
  <c r="Q3" i="6"/>
  <c r="T4" i="6" s="1"/>
  <c r="P3" i="6"/>
  <c r="S4" i="6" s="1"/>
  <c r="I26" i="6"/>
  <c r="I18" i="6"/>
  <c r="I15" i="6"/>
  <c r="I10" i="6"/>
  <c r="I7" i="6"/>
  <c r="I33" i="6"/>
  <c r="I25" i="6"/>
  <c r="I17" i="6"/>
  <c r="I9" i="6"/>
  <c r="I32" i="6"/>
  <c r="I24" i="6"/>
  <c r="I16" i="6"/>
  <c r="I8" i="6"/>
  <c r="I23" i="6"/>
  <c r="I30" i="6"/>
  <c r="I22" i="6"/>
  <c r="I14" i="6"/>
  <c r="I6" i="6"/>
  <c r="I31" i="6"/>
  <c r="I29" i="6"/>
  <c r="I21" i="6"/>
  <c r="I13" i="6"/>
  <c r="I5" i="6"/>
  <c r="I28" i="6"/>
  <c r="I20" i="6"/>
  <c r="I12" i="6"/>
  <c r="I4" i="6"/>
  <c r="I27" i="6"/>
  <c r="I19" i="6"/>
  <c r="I11" i="6"/>
  <c r="K3" i="6"/>
  <c r="J3" i="6"/>
  <c r="P8" i="8" a="1"/>
  <c r="P15" i="8" a="1"/>
  <c r="R30" i="8" a="1"/>
  <c r="R6" i="8" a="1"/>
  <c r="R13" i="8" a="1"/>
  <c r="R27" i="8" a="1"/>
  <c r="R9" i="8" a="1"/>
  <c r="K10" i="8" a="1"/>
  <c r="Q4" i="9" a="1"/>
  <c r="K29" i="9" a="1"/>
  <c r="Q32" i="9" a="1"/>
  <c r="J24" i="9" a="1"/>
  <c r="K17" i="9" a="1"/>
  <c r="P7" i="9" a="1"/>
  <c r="J4" i="9" a="1"/>
  <c r="K24" i="9" a="1"/>
  <c r="K16" i="9" a="1"/>
  <c r="K21" i="6" a="1"/>
  <c r="J16" i="6" a="1"/>
  <c r="P24" i="6" a="1"/>
  <c r="K17" i="6" a="1"/>
  <c r="K31" i="6" a="1"/>
  <c r="P8" i="6" a="1"/>
  <c r="J29" i="6" a="1"/>
  <c r="P30" i="6" a="1"/>
  <c r="K8" i="6" a="1"/>
  <c r="J30" i="6" a="1"/>
  <c r="Q24" i="6" a="1"/>
  <c r="K20" i="6" a="1"/>
  <c r="R8" i="6" a="1"/>
  <c r="Q30" i="6" a="1"/>
  <c r="P14" i="6" a="1"/>
  <c r="Q14" i="6" a="1"/>
  <c r="R26" i="8" a="1"/>
  <c r="P20" i="9" a="1"/>
  <c r="K19" i="6" a="1"/>
  <c r="K10" i="6" a="1"/>
  <c r="K7" i="9" a="1"/>
  <c r="J7" i="9" a="1"/>
  <c r="K14" i="6" a="1"/>
  <c r="R6" i="6" a="1"/>
  <c r="R13" i="6" a="1"/>
  <c r="P23" i="6" a="1"/>
  <c r="P16" i="6" a="1"/>
  <c r="Q23" i="6" a="1"/>
  <c r="R11" i="6" a="1"/>
  <c r="P24" i="8" a="1"/>
  <c r="R27" i="6" a="1"/>
  <c r="Q9" i="6" a="1"/>
  <c r="Q26" i="9" a="1"/>
  <c r="Q17" i="6" a="1"/>
  <c r="J32" i="9" a="1"/>
  <c r="K32" i="8" a="1"/>
  <c r="J8" i="8" a="1"/>
  <c r="Q15" i="8" a="1"/>
  <c r="J30" i="8" a="1"/>
  <c r="P6" i="8" a="1"/>
  <c r="K28" i="8" a="1"/>
  <c r="K27" i="8" a="1"/>
  <c r="P9" i="8" a="1"/>
  <c r="R10" i="8" a="1"/>
  <c r="J28" i="9" a="1"/>
  <c r="R20" i="9" a="1"/>
  <c r="R8" i="9" a="1"/>
  <c r="P9" i="9" a="1"/>
  <c r="J10" i="9" a="1"/>
  <c r="Q22" i="9" a="1"/>
  <c r="K19" i="9" a="1"/>
  <c r="Q5" i="9" a="1"/>
  <c r="P18" i="9" a="1"/>
  <c r="J32" i="6" a="1"/>
  <c r="P21" i="6" a="1"/>
  <c r="P5" i="6" a="1"/>
  <c r="R30" i="6" a="1"/>
  <c r="P27" i="8" a="1"/>
  <c r="R4" i="9" a="1"/>
  <c r="K31" i="9" a="1"/>
  <c r="J18" i="6" a="1"/>
  <c r="Q19" i="6" a="1"/>
  <c r="Q29" i="9" a="1"/>
  <c r="K5" i="6" a="1"/>
  <c r="P11" i="9" a="1"/>
  <c r="P25" i="6" a="1"/>
  <c r="Q29" i="6" a="1"/>
  <c r="J28" i="6" a="1"/>
  <c r="P9" i="6" a="1"/>
  <c r="K26" i="9" a="1"/>
  <c r="P27" i="6" a="1"/>
  <c r="J21" i="9" a="1"/>
  <c r="J9" i="6" a="1"/>
  <c r="Q11" i="9" a="1"/>
  <c r="Q32" i="8" a="1"/>
  <c r="Q8" i="8" a="1"/>
  <c r="J15" i="8" a="1"/>
  <c r="P30" i="8" a="1"/>
  <c r="K29" i="8" a="1"/>
  <c r="Q28" i="8" a="1"/>
  <c r="Q27" i="8" a="1"/>
  <c r="J9" i="8" a="1"/>
  <c r="P10" i="8" a="1"/>
  <c r="P5" i="9" a="1"/>
  <c r="R18" i="9" a="1"/>
  <c r="R15" i="9" a="1"/>
  <c r="K23" i="9" a="1"/>
  <c r="J22" i="9" a="1"/>
  <c r="R28" i="9" a="1"/>
  <c r="K4" i="9" a="1"/>
  <c r="K27" i="9" a="1"/>
  <c r="P27" i="9" a="1"/>
  <c r="J14" i="6" a="1"/>
  <c r="K16" i="6" a="1"/>
  <c r="Q4" i="6" a="1"/>
  <c r="Q21" i="6" a="1"/>
  <c r="J6" i="6" a="1"/>
  <c r="R19" i="6" a="1"/>
  <c r="R5" i="6" a="1"/>
  <c r="R29" i="8" a="1"/>
  <c r="R23" i="9" a="1"/>
  <c r="Q23" i="9" a="1"/>
  <c r="R4" i="6" a="1"/>
  <c r="J10" i="6" a="1"/>
  <c r="J19" i="9" a="1"/>
  <c r="P13" i="6" a="1"/>
  <c r="Q25" i="6" a="1"/>
  <c r="Q16" i="6" a="1"/>
  <c r="P15" i="6" a="1"/>
  <c r="P29" i="6" a="1"/>
  <c r="Q27" i="6" a="1"/>
  <c r="Q6" i="9" a="1"/>
  <c r="J11" i="9" a="1"/>
  <c r="J7" i="6" a="1"/>
  <c r="Q9" i="9" a="1"/>
  <c r="K11" i="6" a="1"/>
  <c r="Q30" i="9" a="1"/>
  <c r="K9" i="6" a="1"/>
  <c r="K9" i="9" a="1"/>
  <c r="R32" i="8" a="1"/>
  <c r="K8" i="8" a="1"/>
  <c r="R15" i="8" a="1"/>
  <c r="R22" i="8" a="1"/>
  <c r="Q29" i="8" a="1"/>
  <c r="R28" i="8" a="1"/>
  <c r="J27" i="8" a="1"/>
  <c r="Q9" i="8" a="1"/>
  <c r="R25" i="8" a="1"/>
  <c r="P12" i="9" a="1"/>
  <c r="J25" i="9" a="1"/>
  <c r="P30" i="9" a="1"/>
  <c r="R16" i="9" a="1"/>
  <c r="R10" i="9" a="1"/>
  <c r="J29" i="9" a="1"/>
  <c r="P32" i="9" a="1"/>
  <c r="P14" i="9" a="1"/>
  <c r="P16" i="9" a="1"/>
  <c r="J26" i="6" a="1"/>
  <c r="K26" i="6" a="1"/>
  <c r="P4" i="6" a="1"/>
  <c r="R21" i="6" a="1"/>
  <c r="R26" i="6" a="1"/>
  <c r="P19" i="6" a="1"/>
  <c r="Q5" i="6" a="1"/>
  <c r="J24" i="6" a="1"/>
  <c r="R14" i="6" a="1"/>
  <c r="R8" i="8" a="1"/>
  <c r="P7" i="8" a="1"/>
  <c r="J28" i="8" a="1"/>
  <c r="K25" i="8" a="1"/>
  <c r="K28" i="9" a="1"/>
  <c r="P22" i="9" a="1"/>
  <c r="J13" i="6" a="1"/>
  <c r="P26" i="6" a="1"/>
  <c r="P29" i="9" a="1"/>
  <c r="R11" i="9" a="1"/>
  <c r="K29" i="6" a="1"/>
  <c r="K23" i="6" a="1"/>
  <c r="K12" i="6" a="1"/>
  <c r="R18" i="6" a="1"/>
  <c r="P18" i="6" a="1"/>
  <c r="J17" i="6" a="1"/>
  <c r="R23" i="8" a="1"/>
  <c r="K22" i="6" a="1"/>
  <c r="Q12" i="6" a="1"/>
  <c r="Q11" i="6" a="1"/>
  <c r="Q28" i="9" a="1"/>
  <c r="J11" i="6" a="1"/>
  <c r="J20" i="9" a="1"/>
  <c r="J32" i="8" a="1"/>
  <c r="K22" i="8" a="1"/>
  <c r="K14" i="9" a="1"/>
  <c r="K6" i="9" a="1"/>
  <c r="P6" i="6" a="1"/>
  <c r="J13" i="9" a="1"/>
  <c r="Q26" i="6" a="1"/>
  <c r="R22" i="9" a="1"/>
  <c r="R23" i="6" a="1"/>
  <c r="R16" i="6" a="1"/>
  <c r="J25" i="6" a="1"/>
  <c r="Q14" i="8" a="1"/>
  <c r="R5" i="9" a="1"/>
  <c r="R17" i="9" a="1"/>
  <c r="J9" i="9" a="1"/>
  <c r="P17" i="6" a="1"/>
  <c r="R20" i="6" a="1"/>
  <c r="P32" i="8" a="1"/>
  <c r="K31" i="8" a="1"/>
  <c r="Q7" i="8" a="1"/>
  <c r="Q22" i="8" a="1"/>
  <c r="J29" i="8" a="1"/>
  <c r="P28" i="8" a="1"/>
  <c r="K19" i="8" a="1"/>
  <c r="K26" i="8" a="1"/>
  <c r="Q25" i="8" a="1"/>
  <c r="J14" i="9" a="1"/>
  <c r="Q10" i="9" a="1"/>
  <c r="R15" i="6" a="1"/>
  <c r="J27" i="6" a="1"/>
  <c r="Q15" i="6" a="1"/>
  <c r="Q6" i="6" a="1"/>
  <c r="J22" i="6" a="1"/>
  <c r="J21" i="6" a="1"/>
  <c r="J8" i="6" a="1"/>
  <c r="R29" i="6" a="1"/>
  <c r="P11" i="8" a="1"/>
  <c r="J31" i="9" a="1"/>
  <c r="K7" i="6" a="1"/>
  <c r="P24" i="9" a="1"/>
  <c r="K15" i="6" a="1"/>
  <c r="Q13" i="9" a="1"/>
  <c r="R28" i="6" a="1"/>
  <c r="Q22" i="6" a="1"/>
  <c r="P31" i="6" a="1"/>
  <c r="R24" i="8" a="1"/>
  <c r="Q31" i="8" a="1"/>
  <c r="J7" i="8" a="1"/>
  <c r="J22" i="8" a="1"/>
  <c r="P29" i="8" a="1"/>
  <c r="P20" i="8" a="1"/>
  <c r="P19" i="8" a="1"/>
  <c r="Q26" i="8" a="1"/>
  <c r="J25" i="8" a="1"/>
  <c r="K12" i="9" a="1"/>
  <c r="K21" i="9" a="1"/>
  <c r="K20" i="9" a="1"/>
  <c r="K30" i="9" a="1"/>
  <c r="R12" i="9" a="1"/>
  <c r="P17" i="9" a="1"/>
  <c r="P15" i="9" a="1"/>
  <c r="Q18" i="6" a="1"/>
  <c r="R32" i="6" a="1"/>
  <c r="J21" i="8" a="1"/>
  <c r="P32" i="6" a="1"/>
  <c r="K22" i="9" a="1"/>
  <c r="K30" i="6" a="1"/>
  <c r="Q20" i="6" a="1"/>
  <c r="R26" i="9" a="1"/>
  <c r="R12" i="6" a="1"/>
  <c r="J12" i="6" a="1"/>
  <c r="J15" i="6" a="1"/>
  <c r="R22" i="6" a="1"/>
  <c r="K24" i="8" a="1"/>
  <c r="R31" i="8" a="1"/>
  <c r="K7" i="8" a="1"/>
  <c r="P22" i="8" a="1"/>
  <c r="R21" i="8" a="1"/>
  <c r="Q20" i="8" a="1"/>
  <c r="Q19" i="8" a="1"/>
  <c r="J26" i="8" a="1"/>
  <c r="P25" i="8" a="1"/>
  <c r="R27" i="9" a="1"/>
  <c r="Q24" i="9" a="1"/>
  <c r="J18" i="9" a="1"/>
  <c r="K25" i="9" a="1"/>
  <c r="P21" i="9" a="1"/>
  <c r="Q17" i="9" a="1"/>
  <c r="Q7" i="9" a="1"/>
  <c r="P23" i="9" a="1"/>
  <c r="J26" i="9" a="1"/>
  <c r="Q13" i="6" a="1"/>
  <c r="J23" i="6" a="1"/>
  <c r="R25" i="6" a="1"/>
  <c r="J20" i="6" a="1"/>
  <c r="R30" i="9" a="1"/>
  <c r="R6" i="9" a="1"/>
  <c r="K25" i="6" a="1"/>
  <c r="Q27" i="9" a="1"/>
  <c r="R17" i="6" a="1"/>
  <c r="P28" i="6" a="1"/>
  <c r="K11" i="9" a="1"/>
  <c r="K6" i="6" a="1"/>
  <c r="J5" i="6" a="1"/>
  <c r="K18" i="6" a="1"/>
  <c r="Q24" i="8" a="1"/>
  <c r="J31" i="8" a="1"/>
  <c r="R7" i="8" a="1"/>
  <c r="P14" i="8" a="1"/>
  <c r="K21" i="8" a="1"/>
  <c r="J20" i="8" a="1"/>
  <c r="J19" i="8" a="1"/>
  <c r="P26" i="8" a="1"/>
  <c r="P8" i="9" a="1"/>
  <c r="J27" i="9" a="1"/>
  <c r="K5" i="9" a="1"/>
  <c r="P25" i="9" a="1"/>
  <c r="R32" i="9" a="1"/>
  <c r="R9" i="9" a="1"/>
  <c r="Q31" i="9" a="1"/>
  <c r="Q21" i="9" a="1"/>
  <c r="P13" i="9" a="1"/>
  <c r="P19" i="9" a="1"/>
  <c r="R7" i="6" a="1"/>
  <c r="R20" i="8" a="1"/>
  <c r="K15" i="9" a="1"/>
  <c r="P11" i="6" a="1"/>
  <c r="K32" i="9" a="1"/>
  <c r="K13" i="6" a="1"/>
  <c r="J12" i="9" a="1"/>
  <c r="P22" i="6" a="1"/>
  <c r="K28" i="6" a="1"/>
  <c r="J24" i="8" a="1"/>
  <c r="P31" i="8" a="1"/>
  <c r="P17" i="8" a="1"/>
  <c r="K14" i="8" a="1"/>
  <c r="Q21" i="8" a="1"/>
  <c r="K20" i="8" a="1"/>
  <c r="R19" i="8" a="1"/>
  <c r="P18" i="8" a="1"/>
  <c r="Q15" i="9" a="1"/>
  <c r="R19" i="9" a="1"/>
  <c r="R21" i="9" a="1"/>
  <c r="J5" i="9" a="1"/>
  <c r="K8" i="9" a="1"/>
  <c r="R13" i="9" a="1"/>
  <c r="R7" i="9" a="1"/>
  <c r="Q12" i="9" a="1"/>
  <c r="K10" i="9" a="1"/>
  <c r="R9" i="6" a="1"/>
  <c r="Q32" i="6" a="1"/>
  <c r="Q7" i="6" a="1"/>
  <c r="J31" i="6" a="1"/>
  <c r="K18" i="8" a="1"/>
  <c r="P28" i="9" a="1"/>
  <c r="P7" i="6" a="1"/>
  <c r="J6" i="9" a="1"/>
  <c r="P10" i="6" a="1"/>
  <c r="Q25" i="9" a="1"/>
  <c r="Q10" i="6" a="1"/>
  <c r="J4" i="6" a="1"/>
  <c r="Q17" i="8" a="1"/>
  <c r="P31" i="9" a="1"/>
  <c r="Q8" i="9" a="1"/>
  <c r="R10" i="6" a="1"/>
  <c r="R31" i="6" a="1"/>
  <c r="P16" i="8" a="1"/>
  <c r="K23" i="8" a="1"/>
  <c r="K17" i="8" a="1"/>
  <c r="J14" i="8" a="1"/>
  <c r="P21" i="8" a="1"/>
  <c r="P12" i="8" a="1"/>
  <c r="J11" i="8" a="1"/>
  <c r="Q18" i="8" a="1"/>
  <c r="P4" i="9" a="1"/>
  <c r="K24" i="6" a="1"/>
  <c r="Q31" i="6" a="1"/>
  <c r="K27" i="6" a="1"/>
  <c r="R24" i="6" a="1"/>
  <c r="Q16" i="8" a="1"/>
  <c r="Q23" i="8" a="1"/>
  <c r="J17" i="8" a="1"/>
  <c r="R14" i="8" a="1"/>
  <c r="P13" i="8" a="1"/>
  <c r="J12" i="8" a="1"/>
  <c r="Q11" i="8" a="1"/>
  <c r="J18" i="8" a="1"/>
  <c r="Q19" i="9" a="1"/>
  <c r="R31" i="9" a="1"/>
  <c r="P12" i="6" a="1"/>
  <c r="K4" i="6" a="1"/>
  <c r="J16" i="8" a="1"/>
  <c r="J23" i="8" a="1"/>
  <c r="R17" i="8" a="1"/>
  <c r="J6" i="8" a="1"/>
  <c r="K13" i="8" a="1"/>
  <c r="Q12" i="8" a="1"/>
  <c r="K11" i="8" a="1"/>
  <c r="R18" i="8" a="1"/>
  <c r="Q20" i="9" a="1"/>
  <c r="J15" i="9" a="1"/>
  <c r="J16" i="9" a="1"/>
  <c r="J17" i="9" a="1"/>
  <c r="R29" i="9" a="1"/>
  <c r="P20" i="6" a="1"/>
  <c r="K32" i="6" a="1"/>
  <c r="Q8" i="6" a="1"/>
  <c r="K16" i="8" a="1"/>
  <c r="P23" i="8" a="1"/>
  <c r="K30" i="8" a="1"/>
  <c r="Q6" i="8" a="1"/>
  <c r="Q13" i="8" a="1"/>
  <c r="K12" i="8" a="1"/>
  <c r="R11" i="8" a="1"/>
  <c r="J10" i="8" a="1"/>
  <c r="Q18" i="9" a="1"/>
  <c r="J30" i="9" a="1"/>
  <c r="J23" i="9" a="1"/>
  <c r="R24" i="9" a="1"/>
  <c r="Q14" i="9" a="1"/>
  <c r="Q28" i="6" a="1"/>
  <c r="R16" i="8" a="1"/>
  <c r="K15" i="8" a="1"/>
  <c r="Q30" i="8" a="1"/>
  <c r="K6" i="8" a="1"/>
  <c r="J13" i="8" a="1"/>
  <c r="R12" i="8" a="1"/>
  <c r="K9" i="8" a="1"/>
  <c r="Q10" i="8" a="1"/>
  <c r="R25" i="9" a="1"/>
  <c r="P6" i="9" a="1"/>
  <c r="K13" i="9" a="1"/>
  <c r="P10" i="9" a="1"/>
  <c r="K18" i="9" a="1"/>
  <c r="J8" i="9" a="1"/>
  <c r="R14" i="9" a="1"/>
  <c r="P26" i="9" a="1"/>
  <c r="Q16" i="9" a="1"/>
  <c r="J19" i="6" a="1"/>
  <c r="R25" i="6" l="1"/>
  <c r="U26" i="6" s="1"/>
  <c r="P25" i="6"/>
  <c r="S26" i="6" s="1"/>
  <c r="Q25" i="6"/>
  <c r="T26" i="6" s="1"/>
  <c r="R14" i="6"/>
  <c r="U15" i="6" s="1"/>
  <c r="Q14" i="6"/>
  <c r="T15" i="6" s="1"/>
  <c r="P14" i="6"/>
  <c r="S15" i="6" s="1"/>
  <c r="R22" i="6"/>
  <c r="U23" i="6" s="1"/>
  <c r="Q22" i="6"/>
  <c r="T23" i="6" s="1"/>
  <c r="P22" i="6"/>
  <c r="R29" i="6"/>
  <c r="U30" i="6" s="1"/>
  <c r="P29" i="6"/>
  <c r="S30" i="6" s="1"/>
  <c r="Q29" i="6"/>
  <c r="T30" i="6" s="1"/>
  <c r="Q6" i="6"/>
  <c r="T7" i="6" s="1"/>
  <c r="R6" i="6"/>
  <c r="U7" i="6" s="1"/>
  <c r="P6" i="6"/>
  <c r="S7" i="6" s="1"/>
  <c r="R30" i="6"/>
  <c r="U31" i="6" s="1"/>
  <c r="Q30" i="6"/>
  <c r="T31" i="6" s="1"/>
  <c r="P30" i="6"/>
  <c r="S31" i="6" s="1"/>
  <c r="Q10" i="6"/>
  <c r="T11" i="6" s="1"/>
  <c r="R10" i="6"/>
  <c r="U11" i="6" s="1"/>
  <c r="P10" i="6"/>
  <c r="S11" i="6" s="1"/>
  <c r="Q23" i="6"/>
  <c r="T24" i="6" s="1"/>
  <c r="R23" i="6"/>
  <c r="U24" i="6" s="1"/>
  <c r="P23" i="6"/>
  <c r="S24" i="6" s="1"/>
  <c r="Q5" i="6"/>
  <c r="T6" i="6" s="1"/>
  <c r="R5" i="6"/>
  <c r="U6" i="6" s="1"/>
  <c r="P5" i="6"/>
  <c r="Q11" i="6"/>
  <c r="T12" i="6" s="1"/>
  <c r="P11" i="6"/>
  <c r="S12" i="6" s="1"/>
  <c r="R11" i="6"/>
  <c r="U12" i="6" s="1"/>
  <c r="Q19" i="6"/>
  <c r="T20" i="6" s="1"/>
  <c r="P19" i="6"/>
  <c r="S20" i="6" s="1"/>
  <c r="R19" i="6"/>
  <c r="U20" i="6" s="1"/>
  <c r="R8" i="6"/>
  <c r="U9" i="6" s="1"/>
  <c r="P8" i="6"/>
  <c r="S9" i="6" s="1"/>
  <c r="Q8" i="6"/>
  <c r="T9" i="6" s="1"/>
  <c r="P17" i="6"/>
  <c r="Q17" i="6"/>
  <c r="T18" i="6" s="1"/>
  <c r="R17" i="6"/>
  <c r="U18" i="6" s="1"/>
  <c r="P18" i="6"/>
  <c r="S19" i="6" s="1"/>
  <c r="R18" i="6"/>
  <c r="U19" i="6" s="1"/>
  <c r="Q18" i="6"/>
  <c r="T19" i="6" s="1"/>
  <c r="Q26" i="6"/>
  <c r="T27" i="6" s="1"/>
  <c r="P26" i="6"/>
  <c r="S27" i="6" s="1"/>
  <c r="R26" i="6"/>
  <c r="U27" i="6" s="1"/>
  <c r="P27" i="6"/>
  <c r="S28" i="6" s="1"/>
  <c r="R27" i="6"/>
  <c r="U28" i="6" s="1"/>
  <c r="Q27" i="6"/>
  <c r="T28" i="6" s="1"/>
  <c r="R16" i="6"/>
  <c r="P16" i="6"/>
  <c r="Q16" i="6"/>
  <c r="T17" i="6" s="1"/>
  <c r="R21" i="6"/>
  <c r="U22" i="6" s="1"/>
  <c r="Q21" i="6"/>
  <c r="T22" i="6" s="1"/>
  <c r="P21" i="6"/>
  <c r="S22" i="6" s="1"/>
  <c r="P31" i="6"/>
  <c r="S32" i="6" s="1"/>
  <c r="R31" i="6"/>
  <c r="U32" i="6" s="1"/>
  <c r="Q31" i="6"/>
  <c r="T32" i="6" s="1"/>
  <c r="R4" i="6"/>
  <c r="U5" i="6" s="1"/>
  <c r="P4" i="6"/>
  <c r="S5" i="6" s="1"/>
  <c r="Q4" i="6"/>
  <c r="T5" i="6" s="1"/>
  <c r="Q24" i="6"/>
  <c r="T25" i="6" s="1"/>
  <c r="P24" i="6"/>
  <c r="S25" i="6" s="1"/>
  <c r="R24" i="6"/>
  <c r="U25" i="6" s="1"/>
  <c r="Q28" i="6"/>
  <c r="T29" i="6" s="1"/>
  <c r="R28" i="6"/>
  <c r="U29" i="6" s="1"/>
  <c r="P28" i="6"/>
  <c r="S29" i="6" s="1"/>
  <c r="P7" i="6"/>
  <c r="S8" i="6" s="1"/>
  <c r="Q7" i="6"/>
  <c r="T8" i="6" s="1"/>
  <c r="R7" i="6"/>
  <c r="U8" i="6" s="1"/>
  <c r="P15" i="6"/>
  <c r="S16" i="6" s="1"/>
  <c r="Q15" i="6"/>
  <c r="T16" i="6" s="1"/>
  <c r="R15" i="6"/>
  <c r="U16" i="6" s="1"/>
  <c r="R12" i="6"/>
  <c r="U13" i="6" s="1"/>
  <c r="P12" i="6"/>
  <c r="S13" i="6" s="1"/>
  <c r="Q12" i="6"/>
  <c r="T13" i="6" s="1"/>
  <c r="P32" i="6"/>
  <c r="S33" i="6" s="1"/>
  <c r="Q32" i="6"/>
  <c r="T33" i="6" s="1"/>
  <c r="R32" i="6"/>
  <c r="U33" i="6" s="1"/>
  <c r="Q13" i="6"/>
  <c r="T14" i="6" s="1"/>
  <c r="R13" i="6"/>
  <c r="U14" i="6" s="1"/>
  <c r="P13" i="6"/>
  <c r="R20" i="6"/>
  <c r="U21" i="6" s="1"/>
  <c r="P20" i="6"/>
  <c r="S21" i="6" s="1"/>
  <c r="Q20" i="6"/>
  <c r="T21" i="6" s="1"/>
  <c r="Q9" i="6"/>
  <c r="T10" i="6" s="1"/>
  <c r="P9" i="6"/>
  <c r="S10" i="6" s="1"/>
  <c r="R9" i="6"/>
  <c r="U10" i="6" s="1"/>
  <c r="R4" i="9"/>
  <c r="U5" i="9" s="1"/>
  <c r="Q4" i="9"/>
  <c r="T5" i="9" s="1"/>
  <c r="K4" i="9"/>
  <c r="P4" i="9"/>
  <c r="S5" i="9" s="1"/>
  <c r="J4" i="9"/>
  <c r="N4" i="9" s="1"/>
  <c r="K9" i="9"/>
  <c r="R9" i="9"/>
  <c r="U10" i="9" s="1"/>
  <c r="J9" i="9"/>
  <c r="P9" i="9"/>
  <c r="S10" i="9" s="1"/>
  <c r="Q9" i="9"/>
  <c r="T10" i="9" s="1"/>
  <c r="J17" i="9"/>
  <c r="R17" i="9"/>
  <c r="U18" i="9" s="1"/>
  <c r="Q17" i="9"/>
  <c r="T18" i="9" s="1"/>
  <c r="P17" i="9"/>
  <c r="S18" i="9" s="1"/>
  <c r="K17" i="9"/>
  <c r="P25" i="9"/>
  <c r="S26" i="9" s="1"/>
  <c r="J25" i="9"/>
  <c r="R25" i="9"/>
  <c r="U26" i="9" s="1"/>
  <c r="Q25" i="9"/>
  <c r="T26" i="9" s="1"/>
  <c r="K25" i="9"/>
  <c r="P27" i="9"/>
  <c r="S28" i="9" s="1"/>
  <c r="J27" i="9"/>
  <c r="R27" i="9"/>
  <c r="U28" i="9" s="1"/>
  <c r="Q27" i="9"/>
  <c r="T28" i="9" s="1"/>
  <c r="K27" i="9"/>
  <c r="P10" i="9"/>
  <c r="S11" i="9" s="1"/>
  <c r="K10" i="9"/>
  <c r="R10" i="9"/>
  <c r="U11" i="9" s="1"/>
  <c r="J10" i="9"/>
  <c r="Q10" i="9"/>
  <c r="T11" i="9" s="1"/>
  <c r="K18" i="9"/>
  <c r="J18" i="9"/>
  <c r="R18" i="9"/>
  <c r="U19" i="9" s="1"/>
  <c r="Q18" i="9"/>
  <c r="T19" i="9" s="1"/>
  <c r="P18" i="9"/>
  <c r="S19" i="9" s="1"/>
  <c r="P26" i="9"/>
  <c r="S27" i="9" s="1"/>
  <c r="J26" i="9"/>
  <c r="R26" i="9"/>
  <c r="U27" i="9" s="1"/>
  <c r="Q26" i="9"/>
  <c r="T27" i="9" s="1"/>
  <c r="K26" i="9"/>
  <c r="R5" i="9"/>
  <c r="U6" i="9" s="1"/>
  <c r="Q5" i="9"/>
  <c r="T6" i="9" s="1"/>
  <c r="K5" i="9"/>
  <c r="P5" i="9"/>
  <c r="S6" i="9" s="1"/>
  <c r="J5" i="9"/>
  <c r="P20" i="9"/>
  <c r="S21" i="9" s="1"/>
  <c r="J20" i="9"/>
  <c r="K20" i="9"/>
  <c r="R20" i="9"/>
  <c r="U21" i="9" s="1"/>
  <c r="Q20" i="9"/>
  <c r="T21" i="9" s="1"/>
  <c r="P13" i="9"/>
  <c r="S14" i="9" s="1"/>
  <c r="K13" i="9"/>
  <c r="J13" i="9"/>
  <c r="R13" i="9"/>
  <c r="U14" i="9" s="1"/>
  <c r="Q13" i="9"/>
  <c r="T14" i="9" s="1"/>
  <c r="P21" i="9"/>
  <c r="S22" i="9" s="1"/>
  <c r="J21" i="9"/>
  <c r="R21" i="9"/>
  <c r="U22" i="9" s="1"/>
  <c r="Q21" i="9"/>
  <c r="T22" i="9" s="1"/>
  <c r="K21" i="9"/>
  <c r="P29" i="9"/>
  <c r="S30" i="9" s="1"/>
  <c r="J29" i="9"/>
  <c r="R29" i="9"/>
  <c r="U30" i="9" s="1"/>
  <c r="Q29" i="9"/>
  <c r="T30" i="9" s="1"/>
  <c r="K29" i="9"/>
  <c r="Q19" i="9"/>
  <c r="T20" i="9" s="1"/>
  <c r="P19" i="9"/>
  <c r="S20" i="9" s="1"/>
  <c r="K19" i="9"/>
  <c r="R19" i="9"/>
  <c r="U20" i="9" s="1"/>
  <c r="J19" i="9"/>
  <c r="J12" i="9"/>
  <c r="K12" i="9"/>
  <c r="R12" i="9"/>
  <c r="U13" i="9" s="1"/>
  <c r="Q12" i="9"/>
  <c r="T13" i="9" s="1"/>
  <c r="P12" i="9"/>
  <c r="S13" i="9" s="1"/>
  <c r="P28" i="9"/>
  <c r="S29" i="9" s="1"/>
  <c r="J28" i="9"/>
  <c r="R28" i="9"/>
  <c r="U29" i="9" s="1"/>
  <c r="Q28" i="9"/>
  <c r="T29" i="9" s="1"/>
  <c r="K28" i="9"/>
  <c r="P6" i="9"/>
  <c r="S7" i="9" s="1"/>
  <c r="J6" i="9"/>
  <c r="K6" i="9"/>
  <c r="Q6" i="9"/>
  <c r="T7" i="9" s="1"/>
  <c r="R6" i="9"/>
  <c r="U7" i="9" s="1"/>
  <c r="R14" i="9"/>
  <c r="U15" i="9" s="1"/>
  <c r="Q14" i="9"/>
  <c r="T15" i="9" s="1"/>
  <c r="P14" i="9"/>
  <c r="S15" i="9" s="1"/>
  <c r="J14" i="9"/>
  <c r="K14" i="9"/>
  <c r="P22" i="9"/>
  <c r="S23" i="9" s="1"/>
  <c r="J22" i="9"/>
  <c r="R22" i="9"/>
  <c r="U23" i="9" s="1"/>
  <c r="Q22" i="9"/>
  <c r="T23" i="9" s="1"/>
  <c r="K22" i="9"/>
  <c r="P30" i="9"/>
  <c r="S31" i="9" s="1"/>
  <c r="J30" i="9"/>
  <c r="R30" i="9"/>
  <c r="U31" i="9" s="1"/>
  <c r="Q30" i="9"/>
  <c r="T31" i="9" s="1"/>
  <c r="K30" i="9"/>
  <c r="Q11" i="9"/>
  <c r="T12" i="9" s="1"/>
  <c r="P11" i="9"/>
  <c r="S12" i="9" s="1"/>
  <c r="R11" i="9"/>
  <c r="U12" i="9" s="1"/>
  <c r="K11" i="9"/>
  <c r="J11" i="9"/>
  <c r="K7" i="9"/>
  <c r="R7" i="9"/>
  <c r="U8" i="9" s="1"/>
  <c r="Q7" i="9"/>
  <c r="T8" i="9" s="1"/>
  <c r="J7" i="9"/>
  <c r="P7" i="9"/>
  <c r="S8" i="9" s="1"/>
  <c r="K15" i="9"/>
  <c r="R15" i="9"/>
  <c r="U16" i="9" s="1"/>
  <c r="J15" i="9"/>
  <c r="Q15" i="9"/>
  <c r="T16" i="9" s="1"/>
  <c r="P15" i="9"/>
  <c r="S16" i="9" s="1"/>
  <c r="P23" i="9"/>
  <c r="S24" i="9" s="1"/>
  <c r="J23" i="9"/>
  <c r="R23" i="9"/>
  <c r="U24" i="9" s="1"/>
  <c r="Q23" i="9"/>
  <c r="T24" i="9" s="1"/>
  <c r="K23" i="9"/>
  <c r="P31" i="9"/>
  <c r="S32" i="9" s="1"/>
  <c r="J31" i="9"/>
  <c r="R31" i="9"/>
  <c r="U32" i="9" s="1"/>
  <c r="Q31" i="9"/>
  <c r="T32" i="9" s="1"/>
  <c r="K31" i="9"/>
  <c r="J8" i="9"/>
  <c r="K8" i="9"/>
  <c r="R8" i="9"/>
  <c r="U9" i="9" s="1"/>
  <c r="Q8" i="9"/>
  <c r="T9" i="9" s="1"/>
  <c r="P8" i="9"/>
  <c r="S9" i="9" s="1"/>
  <c r="P16" i="9"/>
  <c r="S17" i="9" s="1"/>
  <c r="K16" i="9"/>
  <c r="Q16" i="9"/>
  <c r="T17" i="9" s="1"/>
  <c r="J16" i="9"/>
  <c r="R16" i="9"/>
  <c r="U17" i="9" s="1"/>
  <c r="P24" i="9"/>
  <c r="S25" i="9" s="1"/>
  <c r="J24" i="9"/>
  <c r="R24" i="9"/>
  <c r="U25" i="9" s="1"/>
  <c r="Q24" i="9"/>
  <c r="T25" i="9" s="1"/>
  <c r="K24" i="9"/>
  <c r="P32" i="9"/>
  <c r="S33" i="9" s="1"/>
  <c r="J32" i="9"/>
  <c r="R32" i="9"/>
  <c r="U33" i="9" s="1"/>
  <c r="Q32" i="9"/>
  <c r="T33" i="9" s="1"/>
  <c r="K32" i="9"/>
  <c r="L3" i="9"/>
  <c r="M4" i="9"/>
  <c r="V4" i="9"/>
  <c r="N5" i="8"/>
  <c r="V6" i="8"/>
  <c r="N4" i="8"/>
  <c r="U4" i="6"/>
  <c r="V4" i="6" s="1"/>
  <c r="A22" i="6"/>
  <c r="V5" i="8"/>
  <c r="P25" i="8"/>
  <c r="S26" i="8" s="1"/>
  <c r="J25" i="8"/>
  <c r="Q25" i="8"/>
  <c r="T26" i="8" s="1"/>
  <c r="K25" i="8"/>
  <c r="R25" i="8"/>
  <c r="U26" i="8" s="1"/>
  <c r="P10" i="8"/>
  <c r="S11" i="8" s="1"/>
  <c r="R10" i="8"/>
  <c r="U11" i="8" s="1"/>
  <c r="K10" i="8"/>
  <c r="Q10" i="8"/>
  <c r="T11" i="8" s="1"/>
  <c r="J10" i="8"/>
  <c r="R18" i="8"/>
  <c r="U19" i="8" s="1"/>
  <c r="J18" i="8"/>
  <c r="Q18" i="8"/>
  <c r="T19" i="8" s="1"/>
  <c r="K18" i="8"/>
  <c r="P18" i="8"/>
  <c r="S19" i="8" s="1"/>
  <c r="P26" i="8"/>
  <c r="S27" i="8" s="1"/>
  <c r="J26" i="8"/>
  <c r="Q26" i="8"/>
  <c r="T27" i="8" s="1"/>
  <c r="K26" i="8"/>
  <c r="R26" i="8"/>
  <c r="U27" i="8" s="1"/>
  <c r="Q9" i="8"/>
  <c r="T10" i="8" s="1"/>
  <c r="J9" i="8"/>
  <c r="P9" i="8"/>
  <c r="S10" i="8" s="1"/>
  <c r="R9" i="8"/>
  <c r="U10" i="8" s="1"/>
  <c r="K9" i="8"/>
  <c r="R11" i="8"/>
  <c r="U12" i="8" s="1"/>
  <c r="K11" i="8"/>
  <c r="Q11" i="8"/>
  <c r="T12" i="8" s="1"/>
  <c r="J11" i="8"/>
  <c r="P11" i="8"/>
  <c r="S12" i="8" s="1"/>
  <c r="R19" i="8"/>
  <c r="U20" i="8" s="1"/>
  <c r="J19" i="8"/>
  <c r="Q19" i="8"/>
  <c r="T20" i="8" s="1"/>
  <c r="P19" i="8"/>
  <c r="S20" i="8" s="1"/>
  <c r="K19" i="8"/>
  <c r="P27" i="8"/>
  <c r="S28" i="8" s="1"/>
  <c r="J27" i="8"/>
  <c r="Q27" i="8"/>
  <c r="T28" i="8" s="1"/>
  <c r="K27" i="8"/>
  <c r="R27" i="8"/>
  <c r="U28" i="8" s="1"/>
  <c r="R12" i="8"/>
  <c r="U13" i="8" s="1"/>
  <c r="K12" i="8"/>
  <c r="Q12" i="8"/>
  <c r="T13" i="8" s="1"/>
  <c r="J12" i="8"/>
  <c r="P12" i="8"/>
  <c r="S13" i="8" s="1"/>
  <c r="R20" i="8"/>
  <c r="U21" i="8" s="1"/>
  <c r="K20" i="8"/>
  <c r="J20" i="8"/>
  <c r="N20" i="8" s="1"/>
  <c r="Q20" i="8"/>
  <c r="T21" i="8" s="1"/>
  <c r="P20" i="8"/>
  <c r="S21" i="8" s="1"/>
  <c r="P28" i="8"/>
  <c r="S29" i="8" s="1"/>
  <c r="J28" i="8"/>
  <c r="R28" i="8"/>
  <c r="U29" i="8" s="1"/>
  <c r="Q28" i="8"/>
  <c r="T29" i="8" s="1"/>
  <c r="K28" i="8"/>
  <c r="R13" i="8"/>
  <c r="U14" i="8" s="1"/>
  <c r="J13" i="8"/>
  <c r="Q13" i="8"/>
  <c r="T14" i="8" s="1"/>
  <c r="K13" i="8"/>
  <c r="P13" i="8"/>
  <c r="S14" i="8" s="1"/>
  <c r="P21" i="8"/>
  <c r="S22" i="8" s="1"/>
  <c r="J21" i="8"/>
  <c r="Q21" i="8"/>
  <c r="T22" i="8" s="1"/>
  <c r="K21" i="8"/>
  <c r="R21" i="8"/>
  <c r="U22" i="8" s="1"/>
  <c r="P29" i="8"/>
  <c r="S30" i="8" s="1"/>
  <c r="J29" i="8"/>
  <c r="R29" i="8"/>
  <c r="U30" i="8" s="1"/>
  <c r="Q29" i="8"/>
  <c r="T30" i="8" s="1"/>
  <c r="K29" i="8"/>
  <c r="P6" i="8"/>
  <c r="S7" i="8" s="1"/>
  <c r="R6" i="8"/>
  <c r="U7" i="8" s="1"/>
  <c r="K6" i="8"/>
  <c r="Q6" i="8"/>
  <c r="T7" i="8" s="1"/>
  <c r="J6" i="8"/>
  <c r="N6" i="8" s="1"/>
  <c r="R14" i="8"/>
  <c r="U15" i="8" s="1"/>
  <c r="J14" i="8"/>
  <c r="Q14" i="8"/>
  <c r="T15" i="8" s="1"/>
  <c r="K14" i="8"/>
  <c r="P14" i="8"/>
  <c r="S15" i="8" s="1"/>
  <c r="P22" i="8"/>
  <c r="S23" i="8" s="1"/>
  <c r="J22" i="8"/>
  <c r="Q22" i="8"/>
  <c r="T23" i="8" s="1"/>
  <c r="K22" i="8"/>
  <c r="R22" i="8"/>
  <c r="U23" i="8" s="1"/>
  <c r="P30" i="8"/>
  <c r="S31" i="8" s="1"/>
  <c r="J30" i="8"/>
  <c r="R30" i="8"/>
  <c r="U31" i="8" s="1"/>
  <c r="Q30" i="8"/>
  <c r="T31" i="8" s="1"/>
  <c r="K30" i="8"/>
  <c r="R17" i="8"/>
  <c r="U18" i="8" s="1"/>
  <c r="J17" i="8"/>
  <c r="K17" i="8"/>
  <c r="Q17" i="8"/>
  <c r="T18" i="8" s="1"/>
  <c r="P17" i="8"/>
  <c r="S18" i="8" s="1"/>
  <c r="R7" i="8"/>
  <c r="U8" i="8" s="1"/>
  <c r="K7" i="8"/>
  <c r="J7" i="8"/>
  <c r="Q7" i="8"/>
  <c r="T8" i="8" s="1"/>
  <c r="P7" i="8"/>
  <c r="S8" i="8" s="1"/>
  <c r="R15" i="8"/>
  <c r="U16" i="8" s="1"/>
  <c r="J15" i="8"/>
  <c r="Q15" i="8"/>
  <c r="T16" i="8" s="1"/>
  <c r="P15" i="8"/>
  <c r="S16" i="8" s="1"/>
  <c r="K15" i="8"/>
  <c r="P23" i="8"/>
  <c r="S24" i="8" s="1"/>
  <c r="J23" i="8"/>
  <c r="Q23" i="8"/>
  <c r="T24" i="8" s="1"/>
  <c r="K23" i="8"/>
  <c r="R23" i="8"/>
  <c r="U24" i="8" s="1"/>
  <c r="P31" i="8"/>
  <c r="S32" i="8" s="1"/>
  <c r="J31" i="8"/>
  <c r="R31" i="8"/>
  <c r="U32" i="8" s="1"/>
  <c r="Q31" i="8"/>
  <c r="T32" i="8" s="1"/>
  <c r="K31" i="8"/>
  <c r="R8" i="8"/>
  <c r="U9" i="8" s="1"/>
  <c r="K8" i="8"/>
  <c r="Q8" i="8"/>
  <c r="T9" i="8" s="1"/>
  <c r="J8" i="8"/>
  <c r="P8" i="8"/>
  <c r="S9" i="8" s="1"/>
  <c r="R16" i="8"/>
  <c r="U17" i="8" s="1"/>
  <c r="K16" i="8"/>
  <c r="J16" i="8"/>
  <c r="Q16" i="8"/>
  <c r="T17" i="8" s="1"/>
  <c r="P16" i="8"/>
  <c r="S17" i="8" s="1"/>
  <c r="P24" i="8"/>
  <c r="S25" i="8" s="1"/>
  <c r="J24" i="8"/>
  <c r="Q24" i="8"/>
  <c r="T25" i="8" s="1"/>
  <c r="K24" i="8"/>
  <c r="R24" i="8"/>
  <c r="U25" i="8" s="1"/>
  <c r="P32" i="8"/>
  <c r="S33" i="8" s="1"/>
  <c r="J32" i="8"/>
  <c r="R32" i="8"/>
  <c r="U33" i="8" s="1"/>
  <c r="Q32" i="8"/>
  <c r="T33" i="8" s="1"/>
  <c r="K32" i="8"/>
  <c r="M4" i="8"/>
  <c r="L3" i="8"/>
  <c r="M6" i="8"/>
  <c r="L5" i="8"/>
  <c r="L4" i="8"/>
  <c r="M5" i="8"/>
  <c r="V4" i="8"/>
  <c r="U17" i="6"/>
  <c r="L3" i="6"/>
  <c r="M4" i="6"/>
  <c r="K4" i="6"/>
  <c r="M5" i="6" s="1"/>
  <c r="J4" i="6"/>
  <c r="N4" i="6" s="1"/>
  <c r="K25" i="6"/>
  <c r="M26" i="6" s="1"/>
  <c r="K15" i="6"/>
  <c r="M16" i="6" s="1"/>
  <c r="K32" i="6"/>
  <c r="M33" i="6" s="1"/>
  <c r="K10" i="6"/>
  <c r="M11" i="6" s="1"/>
  <c r="K24" i="6"/>
  <c r="M25" i="6" s="1"/>
  <c r="K6" i="6"/>
  <c r="M7" i="6" s="1"/>
  <c r="K26" i="6"/>
  <c r="M27" i="6" s="1"/>
  <c r="K20" i="6"/>
  <c r="M21" i="6" s="1"/>
  <c r="K16" i="6"/>
  <c r="M17" i="6" s="1"/>
  <c r="K12" i="6"/>
  <c r="M13" i="6" s="1"/>
  <c r="K9" i="6"/>
  <c r="M10" i="6" s="1"/>
  <c r="K23" i="6"/>
  <c r="M24" i="6" s="1"/>
  <c r="K28" i="6"/>
  <c r="M29" i="6" s="1"/>
  <c r="K21" i="6"/>
  <c r="M22" i="6" s="1"/>
  <c r="K14" i="6"/>
  <c r="M15" i="6" s="1"/>
  <c r="K18" i="6"/>
  <c r="M19" i="6" s="1"/>
  <c r="K19" i="6"/>
  <c r="M20" i="6" s="1"/>
  <c r="K11" i="6"/>
  <c r="M12" i="6" s="1"/>
  <c r="K7" i="6"/>
  <c r="M8" i="6" s="1"/>
  <c r="K17" i="6"/>
  <c r="M18" i="6" s="1"/>
  <c r="K27" i="6"/>
  <c r="M28" i="6" s="1"/>
  <c r="K30" i="6"/>
  <c r="M31" i="6" s="1"/>
  <c r="K8" i="6"/>
  <c r="M9" i="6" s="1"/>
  <c r="K22" i="6"/>
  <c r="M23" i="6" s="1"/>
  <c r="K31" i="6"/>
  <c r="M32" i="6" s="1"/>
  <c r="K29" i="6"/>
  <c r="M30" i="6" s="1"/>
  <c r="K13" i="6"/>
  <c r="M14" i="6" s="1"/>
  <c r="K5" i="6"/>
  <c r="M6" i="6" s="1"/>
  <c r="J31" i="6"/>
  <c r="J18" i="6"/>
  <c r="J13" i="6"/>
  <c r="J11" i="6"/>
  <c r="J17" i="6"/>
  <c r="J21" i="6"/>
  <c r="J19" i="6"/>
  <c r="J28" i="6"/>
  <c r="J32" i="6"/>
  <c r="J14" i="6"/>
  <c r="J27" i="6"/>
  <c r="J10" i="6"/>
  <c r="J8" i="6"/>
  <c r="J29" i="6"/>
  <c r="J25" i="6"/>
  <c r="J15" i="6"/>
  <c r="J7" i="6"/>
  <c r="J24" i="6"/>
  <c r="J6" i="6"/>
  <c r="J26" i="6"/>
  <c r="J20" i="6"/>
  <c r="J22" i="6"/>
  <c r="J5" i="6"/>
  <c r="J23" i="6"/>
  <c r="J16" i="6"/>
  <c r="J30" i="6"/>
  <c r="J12" i="6"/>
  <c r="J9" i="6"/>
  <c r="V33" i="6" l="1"/>
  <c r="N5" i="9"/>
  <c r="N15" i="9"/>
  <c r="N31" i="8"/>
  <c r="N16" i="9"/>
  <c r="N11" i="9"/>
  <c r="N26" i="9"/>
  <c r="N31" i="9"/>
  <c r="N28" i="8"/>
  <c r="N12" i="8"/>
  <c r="V25" i="9"/>
  <c r="V31" i="9"/>
  <c r="V22" i="9"/>
  <c r="N18" i="9"/>
  <c r="N22" i="9"/>
  <c r="V26" i="9"/>
  <c r="V6" i="9"/>
  <c r="N8" i="9"/>
  <c r="N29" i="9"/>
  <c r="U34" i="9"/>
  <c r="V15" i="9"/>
  <c r="N9" i="9"/>
  <c r="N28" i="9"/>
  <c r="N6" i="9"/>
  <c r="N24" i="9"/>
  <c r="N30" i="9"/>
  <c r="N14" i="9"/>
  <c r="V21" i="9"/>
  <c r="N7" i="9"/>
  <c r="V24" i="9"/>
  <c r="V29" i="9"/>
  <c r="V27" i="9"/>
  <c r="V5" i="9"/>
  <c r="V23" i="9"/>
  <c r="V13" i="9"/>
  <c r="V20" i="9"/>
  <c r="V19" i="9"/>
  <c r="N21" i="9"/>
  <c r="N12" i="9"/>
  <c r="N20" i="9"/>
  <c r="N19" i="9"/>
  <c r="N27" i="9"/>
  <c r="N23" i="9"/>
  <c r="N13" i="9"/>
  <c r="N10" i="9"/>
  <c r="T34" i="9"/>
  <c r="N17" i="9"/>
  <c r="N25" i="9"/>
  <c r="S34" i="9"/>
  <c r="V8" i="9"/>
  <c r="V12" i="9"/>
  <c r="V18" i="9"/>
  <c r="V33" i="9"/>
  <c r="V30" i="9"/>
  <c r="V28" i="9"/>
  <c r="V17" i="9"/>
  <c r="V14" i="9"/>
  <c r="O5" i="8"/>
  <c r="W5" i="8" s="1"/>
  <c r="V9" i="9"/>
  <c r="V11" i="9"/>
  <c r="V16" i="9"/>
  <c r="V32" i="9"/>
  <c r="V7" i="9"/>
  <c r="V10" i="9"/>
  <c r="O4" i="9"/>
  <c r="L32" i="9"/>
  <c r="M33" i="9"/>
  <c r="N32" i="9"/>
  <c r="N33" i="9"/>
  <c r="M25" i="9"/>
  <c r="L24" i="9"/>
  <c r="M17" i="9"/>
  <c r="L16" i="9"/>
  <c r="M9" i="9"/>
  <c r="L8" i="9"/>
  <c r="M32" i="9"/>
  <c r="L31" i="9"/>
  <c r="M24" i="9"/>
  <c r="L23" i="9"/>
  <c r="M16" i="9"/>
  <c r="O16" i="9" s="1"/>
  <c r="L15" i="9"/>
  <c r="M8" i="9"/>
  <c r="O8" i="9" s="1"/>
  <c r="W8" i="9" s="1"/>
  <c r="L7" i="9"/>
  <c r="M12" i="9"/>
  <c r="L11" i="9"/>
  <c r="M31" i="9"/>
  <c r="L30" i="9"/>
  <c r="M23" i="9"/>
  <c r="L22" i="9"/>
  <c r="M15" i="9"/>
  <c r="O15" i="9" s="1"/>
  <c r="L14" i="9"/>
  <c r="M7" i="9"/>
  <c r="L6" i="9"/>
  <c r="M29" i="9"/>
  <c r="L28" i="9"/>
  <c r="M13" i="9"/>
  <c r="L12" i="9"/>
  <c r="M20" i="9"/>
  <c r="L19" i="9"/>
  <c r="M30" i="9"/>
  <c r="L29" i="9"/>
  <c r="M22" i="9"/>
  <c r="L21" i="9"/>
  <c r="M14" i="9"/>
  <c r="L13" i="9"/>
  <c r="M21" i="9"/>
  <c r="L20" i="9"/>
  <c r="L5" i="9"/>
  <c r="M6" i="9"/>
  <c r="M27" i="9"/>
  <c r="L26" i="9"/>
  <c r="M19" i="9"/>
  <c r="L18" i="9"/>
  <c r="M11" i="9"/>
  <c r="L10" i="9"/>
  <c r="M28" i="9"/>
  <c r="L27" i="9"/>
  <c r="M26" i="9"/>
  <c r="L25" i="9"/>
  <c r="M18" i="9"/>
  <c r="L17" i="9"/>
  <c r="M10" i="9"/>
  <c r="L9" i="9"/>
  <c r="L4" i="9"/>
  <c r="M5" i="9"/>
  <c r="O5" i="9" s="1"/>
  <c r="N15" i="8"/>
  <c r="N23" i="8"/>
  <c r="O6" i="8"/>
  <c r="W6" i="8" s="1"/>
  <c r="U34" i="8"/>
  <c r="N24" i="8"/>
  <c r="N8" i="8"/>
  <c r="N30" i="8"/>
  <c r="N14" i="8"/>
  <c r="N27" i="8"/>
  <c r="N11" i="8"/>
  <c r="N19" i="8"/>
  <c r="V32" i="8"/>
  <c r="V19" i="8"/>
  <c r="V12" i="8"/>
  <c r="N16" i="8"/>
  <c r="V9" i="8"/>
  <c r="V15" i="8"/>
  <c r="V27" i="8"/>
  <c r="V18" i="8"/>
  <c r="N22" i="6"/>
  <c r="O22" i="6" s="1"/>
  <c r="V33" i="8"/>
  <c r="T34" i="8"/>
  <c r="N29" i="8"/>
  <c r="N26" i="8"/>
  <c r="V16" i="8"/>
  <c r="V10" i="8"/>
  <c r="V25" i="8"/>
  <c r="V31" i="8"/>
  <c r="M30" i="8"/>
  <c r="L29" i="8"/>
  <c r="N21" i="8"/>
  <c r="N9" i="8"/>
  <c r="M19" i="8"/>
  <c r="L18" i="8"/>
  <c r="V11" i="8"/>
  <c r="M22" i="8"/>
  <c r="L21" i="8"/>
  <c r="M28" i="8"/>
  <c r="L27" i="8"/>
  <c r="V17" i="8"/>
  <c r="M9" i="8"/>
  <c r="L8" i="8"/>
  <c r="M24" i="8"/>
  <c r="L23" i="8"/>
  <c r="M18" i="8"/>
  <c r="L17" i="8"/>
  <c r="V22" i="8"/>
  <c r="V13" i="8"/>
  <c r="V7" i="8"/>
  <c r="M29" i="8"/>
  <c r="L28" i="8"/>
  <c r="N32" i="8"/>
  <c r="N33" i="8"/>
  <c r="V8" i="8"/>
  <c r="N17" i="8"/>
  <c r="M23" i="8"/>
  <c r="L22" i="8"/>
  <c r="V14" i="8"/>
  <c r="V28" i="8"/>
  <c r="N18" i="8"/>
  <c r="M26" i="8"/>
  <c r="L25" i="8"/>
  <c r="M15" i="8"/>
  <c r="L14" i="8"/>
  <c r="M32" i="8"/>
  <c r="L31" i="8"/>
  <c r="M14" i="8"/>
  <c r="L13" i="8"/>
  <c r="V29" i="8"/>
  <c r="M20" i="8"/>
  <c r="O20" i="8" s="1"/>
  <c r="L19" i="8"/>
  <c r="M12" i="8"/>
  <c r="L11" i="8"/>
  <c r="M27" i="8"/>
  <c r="L26" i="8"/>
  <c r="O4" i="8"/>
  <c r="L32" i="8"/>
  <c r="M33" i="8"/>
  <c r="M17" i="8"/>
  <c r="O17" i="8" s="1"/>
  <c r="L16" i="8"/>
  <c r="V24" i="8"/>
  <c r="N7" i="8"/>
  <c r="M31" i="8"/>
  <c r="O31" i="8" s="1"/>
  <c r="L30" i="8"/>
  <c r="N22" i="8"/>
  <c r="V30" i="8"/>
  <c r="V21" i="8"/>
  <c r="M13" i="8"/>
  <c r="L12" i="8"/>
  <c r="V20" i="8"/>
  <c r="N10" i="8"/>
  <c r="N25" i="8"/>
  <c r="M11" i="8"/>
  <c r="L10" i="8"/>
  <c r="M21" i="8"/>
  <c r="O21" i="8" s="1"/>
  <c r="W21" i="8" s="1"/>
  <c r="L20" i="8"/>
  <c r="S34" i="8"/>
  <c r="M25" i="8"/>
  <c r="L24" i="8"/>
  <c r="M16" i="8"/>
  <c r="L15" i="8"/>
  <c r="M8" i="8"/>
  <c r="O8" i="8" s="1"/>
  <c r="W8" i="8" s="1"/>
  <c r="L7" i="8"/>
  <c r="V23" i="8"/>
  <c r="M7" i="8"/>
  <c r="L6" i="8"/>
  <c r="N13" i="8"/>
  <c r="M10" i="8"/>
  <c r="L9" i="8"/>
  <c r="V26" i="8"/>
  <c r="U34" i="6"/>
  <c r="T34" i="6"/>
  <c r="M34" i="6"/>
  <c r="N32" i="6"/>
  <c r="O32" i="6" s="1"/>
  <c r="N33" i="6"/>
  <c r="O33" i="6" s="1"/>
  <c r="V13" i="6"/>
  <c r="S14" i="6"/>
  <c r="V14" i="6" s="1"/>
  <c r="V22" i="6"/>
  <c r="S23" i="6"/>
  <c r="V23" i="6" s="1"/>
  <c r="V5" i="6"/>
  <c r="S6" i="6"/>
  <c r="V6" i="6" s="1"/>
  <c r="S18" i="6"/>
  <c r="V18" i="6" s="1"/>
  <c r="V16" i="6"/>
  <c r="S17" i="6"/>
  <c r="V17" i="6" s="1"/>
  <c r="V10" i="6"/>
  <c r="V26" i="6"/>
  <c r="V25" i="6"/>
  <c r="V21" i="6"/>
  <c r="V29" i="6"/>
  <c r="V19" i="6"/>
  <c r="V12" i="6"/>
  <c r="V7" i="6"/>
  <c r="V32" i="6"/>
  <c r="V31" i="6"/>
  <c r="V9" i="6"/>
  <c r="V8" i="6"/>
  <c r="V27" i="6"/>
  <c r="V28" i="6"/>
  <c r="V15" i="6"/>
  <c r="V30" i="6"/>
  <c r="V11" i="6"/>
  <c r="V24" i="6"/>
  <c r="V20" i="6"/>
  <c r="L32" i="6"/>
  <c r="L4" i="6"/>
  <c r="O4" i="6"/>
  <c r="N5" i="6"/>
  <c r="O5" i="6" s="1"/>
  <c r="L24" i="6"/>
  <c r="L5" i="6"/>
  <c r="L10" i="6"/>
  <c r="N21" i="6"/>
  <c r="O21" i="6" s="1"/>
  <c r="L8" i="6"/>
  <c r="L14" i="6"/>
  <c r="L26" i="6"/>
  <c r="N23" i="6"/>
  <c r="O23" i="6" s="1"/>
  <c r="N28" i="6"/>
  <c r="O28" i="6" s="1"/>
  <c r="L30" i="6"/>
  <c r="N15" i="6"/>
  <c r="O15" i="6" s="1"/>
  <c r="N19" i="6"/>
  <c r="O19" i="6" s="1"/>
  <c r="L13" i="6"/>
  <c r="N25" i="6"/>
  <c r="O25" i="6" s="1"/>
  <c r="L6" i="6"/>
  <c r="N8" i="6"/>
  <c r="O8" i="6" s="1"/>
  <c r="N17" i="6"/>
  <c r="O17" i="6" s="1"/>
  <c r="L11" i="6"/>
  <c r="L15" i="6"/>
  <c r="N29" i="6"/>
  <c r="O29" i="6" s="1"/>
  <c r="N9" i="6"/>
  <c r="O9" i="6" s="1"/>
  <c r="N12" i="6"/>
  <c r="O12" i="6" s="1"/>
  <c r="N27" i="6"/>
  <c r="O27" i="6" s="1"/>
  <c r="N30" i="6"/>
  <c r="O30" i="6" s="1"/>
  <c r="N24" i="6"/>
  <c r="O24" i="6" s="1"/>
  <c r="N14" i="6"/>
  <c r="O14" i="6" s="1"/>
  <c r="N18" i="6"/>
  <c r="O18" i="6" s="1"/>
  <c r="N20" i="6"/>
  <c r="O20" i="6" s="1"/>
  <c r="N26" i="6"/>
  <c r="O26" i="6" s="1"/>
  <c r="N10" i="6"/>
  <c r="O10" i="6" s="1"/>
  <c r="N11" i="6"/>
  <c r="O11" i="6" s="1"/>
  <c r="N6" i="6"/>
  <c r="O6" i="6" s="1"/>
  <c r="N13" i="6"/>
  <c r="O13" i="6" s="1"/>
  <c r="N16" i="6"/>
  <c r="O16" i="6" s="1"/>
  <c r="N7" i="6"/>
  <c r="O7" i="6" s="1"/>
  <c r="N31" i="6"/>
  <c r="O31" i="6" s="1"/>
  <c r="L22" i="6"/>
  <c r="L18" i="6"/>
  <c r="L16" i="6"/>
  <c r="L31" i="6"/>
  <c r="L17" i="6"/>
  <c r="L20" i="6"/>
  <c r="L7" i="6"/>
  <c r="L21" i="6"/>
  <c r="L25" i="6"/>
  <c r="L28" i="6"/>
  <c r="L27" i="6"/>
  <c r="L9" i="6"/>
  <c r="L23" i="6"/>
  <c r="L29" i="6"/>
  <c r="L12" i="6"/>
  <c r="L19" i="6"/>
  <c r="W33" i="6" l="1"/>
  <c r="O26" i="9"/>
  <c r="W26" i="9" s="1"/>
  <c r="O11" i="9"/>
  <c r="W11" i="9" s="1"/>
  <c r="O28" i="8"/>
  <c r="O12" i="8"/>
  <c r="W12" i="8" s="1"/>
  <c r="O23" i="8"/>
  <c r="W23" i="8" s="1"/>
  <c r="O16" i="8"/>
  <c r="W16" i="8" s="1"/>
  <c r="O31" i="9"/>
  <c r="W31" i="9" s="1"/>
  <c r="O32" i="9"/>
  <c r="W32" i="9" s="1"/>
  <c r="O29" i="9"/>
  <c r="W29" i="9" s="1"/>
  <c r="W15" i="9"/>
  <c r="O7" i="9"/>
  <c r="W7" i="9" s="1"/>
  <c r="O18" i="9"/>
  <c r="W18" i="9" s="1"/>
  <c r="O22" i="9"/>
  <c r="W22" i="9" s="1"/>
  <c r="O15" i="8"/>
  <c r="W15" i="8" s="1"/>
  <c r="O6" i="9"/>
  <c r="W6" i="9" s="1"/>
  <c r="O27" i="9"/>
  <c r="W27" i="9" s="1"/>
  <c r="O30" i="9"/>
  <c r="W30" i="9" s="1"/>
  <c r="O14" i="9"/>
  <c r="W14" i="9" s="1"/>
  <c r="O13" i="9"/>
  <c r="W13" i="9" s="1"/>
  <c r="O17" i="9"/>
  <c r="W17" i="9" s="1"/>
  <c r="O28" i="9"/>
  <c r="W28" i="9" s="1"/>
  <c r="O12" i="9"/>
  <c r="W12" i="9" s="1"/>
  <c r="O21" i="9"/>
  <c r="W21" i="9" s="1"/>
  <c r="O9" i="9"/>
  <c r="W9" i="9" s="1"/>
  <c r="O19" i="9"/>
  <c r="W19" i="9" s="1"/>
  <c r="O24" i="9"/>
  <c r="W24" i="9" s="1"/>
  <c r="W5" i="9"/>
  <c r="O23" i="9"/>
  <c r="W23" i="9" s="1"/>
  <c r="N34" i="9"/>
  <c r="O25" i="9"/>
  <c r="W25" i="9" s="1"/>
  <c r="O10" i="9"/>
  <c r="W10" i="9" s="1"/>
  <c r="O20" i="9"/>
  <c r="W20" i="9" s="1"/>
  <c r="V34" i="9"/>
  <c r="O33" i="9"/>
  <c r="W33" i="9" s="1"/>
  <c r="W16" i="9"/>
  <c r="M34" i="9"/>
  <c r="W4" i="9"/>
  <c r="O19" i="8"/>
  <c r="W19" i="8" s="1"/>
  <c r="O9" i="8"/>
  <c r="W9" i="8" s="1"/>
  <c r="O27" i="8"/>
  <c r="W27" i="8" s="1"/>
  <c r="O29" i="8"/>
  <c r="W29" i="8" s="1"/>
  <c r="O26" i="8"/>
  <c r="W26" i="8" s="1"/>
  <c r="O30" i="8"/>
  <c r="W30" i="8" s="1"/>
  <c r="W31" i="8"/>
  <c r="O33" i="8"/>
  <c r="W33" i="8" s="1"/>
  <c r="O24" i="8"/>
  <c r="W24" i="8" s="1"/>
  <c r="O11" i="8"/>
  <c r="W11" i="8" s="1"/>
  <c r="O14" i="8"/>
  <c r="W14" i="8" s="1"/>
  <c r="W17" i="8"/>
  <c r="O10" i="8"/>
  <c r="W10" i="8" s="1"/>
  <c r="O7" i="8"/>
  <c r="W7" i="8" s="1"/>
  <c r="O32" i="8"/>
  <c r="W32" i="8" s="1"/>
  <c r="V34" i="8"/>
  <c r="W20" i="8"/>
  <c r="W28" i="8"/>
  <c r="W4" i="8"/>
  <c r="O18" i="8"/>
  <c r="W18" i="8" s="1"/>
  <c r="O25" i="8"/>
  <c r="W25" i="8" s="1"/>
  <c r="N34" i="8"/>
  <c r="M34" i="8"/>
  <c r="O22" i="8"/>
  <c r="W22" i="8" s="1"/>
  <c r="O13" i="8"/>
  <c r="W13" i="8" s="1"/>
  <c r="W32" i="6"/>
  <c r="V34" i="6"/>
  <c r="W23" i="6"/>
  <c r="W27" i="6"/>
  <c r="W9" i="6"/>
  <c r="N34" i="6"/>
  <c r="W4" i="6"/>
  <c r="O34" i="6"/>
  <c r="S34" i="6"/>
  <c r="W18" i="6"/>
  <c r="W25" i="6"/>
  <c r="W20" i="6"/>
  <c r="W8" i="6"/>
  <c r="W29" i="6"/>
  <c r="W17" i="6"/>
  <c r="W24" i="6"/>
  <c r="W21" i="6"/>
  <c r="W6" i="6"/>
  <c r="W11" i="6"/>
  <c r="W31" i="6"/>
  <c r="W5" i="6"/>
  <c r="W30" i="6"/>
  <c r="W26" i="6"/>
  <c r="W15" i="6"/>
  <c r="W7" i="6"/>
  <c r="W10" i="6"/>
  <c r="W22" i="6"/>
  <c r="W14" i="6"/>
  <c r="W12" i="6"/>
  <c r="W28" i="6"/>
  <c r="W19" i="6"/>
  <c r="W16" i="6"/>
  <c r="W13" i="6"/>
  <c r="O34" i="9" l="1"/>
  <c r="W34" i="9"/>
  <c r="W34" i="8"/>
  <c r="O34" i="8"/>
  <c r="W3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<sst xmlns="http://schemas.openxmlformats.org/spreadsheetml/2006/main" count="166" uniqueCount="62">
  <si>
    <t>Risk Free Rate</t>
  </si>
  <si>
    <t>Delta</t>
  </si>
  <si>
    <t>Gamma</t>
  </si>
  <si>
    <t>Vega</t>
  </si>
  <si>
    <t>Theta</t>
  </si>
  <si>
    <t>Volatility</t>
  </si>
  <si>
    <t>Rho</t>
  </si>
  <si>
    <t>Call</t>
  </si>
  <si>
    <t>Dividend Yield</t>
  </si>
  <si>
    <t>Parameters</t>
  </si>
  <si>
    <t>Time To Expiry</t>
  </si>
  <si>
    <t>Stock Price</t>
  </si>
  <si>
    <t>Strike Price</t>
  </si>
  <si>
    <t>Option Price</t>
  </si>
  <si>
    <t>Put</t>
  </si>
  <si>
    <t>Results</t>
  </si>
  <si>
    <t>Position</t>
  </si>
  <si>
    <t>Nb of Options</t>
  </si>
  <si>
    <t>Days</t>
  </si>
  <si>
    <t>S</t>
  </si>
  <si>
    <t>T</t>
  </si>
  <si>
    <t>Realized Volatility</t>
  </si>
  <si>
    <t>Option Value</t>
  </si>
  <si>
    <t>Option Delta</t>
  </si>
  <si>
    <t>Option Type</t>
  </si>
  <si>
    <t>C</t>
  </si>
  <si>
    <t>Option Portfolio</t>
  </si>
  <si>
    <t>IV</t>
  </si>
  <si>
    <t>IV Simulation</t>
  </si>
  <si>
    <t>Bottom</t>
  </si>
  <si>
    <t>Top</t>
  </si>
  <si>
    <t>Option PnL</t>
  </si>
  <si>
    <t>Pnl of delta hedging a Call option</t>
  </si>
  <si>
    <t>Total PnL</t>
  </si>
  <si>
    <t>S % change</t>
  </si>
  <si>
    <t>$Gamma</t>
  </si>
  <si>
    <t>Total</t>
  </si>
  <si>
    <t>Greeks</t>
  </si>
  <si>
    <t>PNL breakdown</t>
  </si>
  <si>
    <t>Delta Hedge (nb stock)</t>
  </si>
  <si>
    <t>PNL-DeltaHedge</t>
  </si>
  <si>
    <t>Diff</t>
  </si>
  <si>
    <t>Vega * (RV-IV)</t>
  </si>
  <si>
    <t>Implied Volatility</t>
  </si>
  <si>
    <t>House Price</t>
  </si>
  <si>
    <t>Dep</t>
  </si>
  <si>
    <t>Rent</t>
  </si>
  <si>
    <t>Final PnL Breakdown</t>
  </si>
  <si>
    <t>PnL</t>
  </si>
  <si>
    <t>Example 1</t>
  </si>
  <si>
    <t xml:space="preserve">House Price </t>
  </si>
  <si>
    <t>房价</t>
  </si>
  <si>
    <t>$Delta Example</t>
  </si>
  <si>
    <t>QQQ</t>
  </si>
  <si>
    <t>NDX</t>
  </si>
  <si>
    <t>Portfolio Delta</t>
  </si>
  <si>
    <t>ds</t>
  </si>
  <si>
    <t>$Delta</t>
  </si>
  <si>
    <t>RV</t>
  </si>
  <si>
    <t>Chinese</t>
  </si>
  <si>
    <t>English</t>
  </si>
  <si>
    <t>Math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</si>
</sst>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00"/>
    <numFmt numFmtId="165" formatCode="0.0%"/>
    <numFmt numFmtId="166" formatCode="0.00_);[Red]\(0.00\)"/>
    <numFmt numFmtId="167" formatCode="0.0"/>
    <numFmt numFmtId="168" formatCode="0_);[Red]\(0\)"/>
  </numFmts>
  <fonts count="8" x14ac:knownFonts="1">
    <font>
      <sz val="10"/>
      <name val="Arial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86">
    <xf numFmtId="0" fontId="0" fillId="0" borderId="0" xfId="0"/>
    <xf numFmtId="4" fontId="2" fillId="0" borderId="0" xfId="0" applyNumberFormat="1" applyFont="1" applyFill="1" applyBorder="1"/>
    <xf numFmtId="0" fontId="2" fillId="0" borderId="0" xfId="0" applyFont="1" applyFill="1" applyBorder="1" applyAlignment="1">
      <alignment horizontal="right"/>
    </xf>
    <xf numFmtId="0" fontId="2" fillId="0" borderId="0" xfId="0" applyFont="1" applyFill="1" applyBorder="1"/>
    <xf numFmtId="0" fontId="2" fillId="0" borderId="0" xfId="0" applyFont="1" applyFill="1" applyBorder="1" applyAlignment="1"/>
    <xf numFmtId="0" fontId="2" fillId="2" borderId="3" xfId="0" applyFont="1" applyFill="1" applyBorder="1"/>
    <xf numFmtId="0" fontId="2" fillId="2" borderId="4" xfId="0" applyFont="1" applyFill="1" applyBorder="1" applyAlignment="1"/>
    <xf numFmtId="0" fontId="2" fillId="2" borderId="5" xfId="0" applyFont="1" applyFill="1" applyBorder="1"/>
    <xf numFmtId="9" fontId="2" fillId="2" borderId="5" xfId="0" applyNumberFormat="1" applyFont="1" applyFill="1" applyBorder="1"/>
    <xf numFmtId="10" fontId="2" fillId="2" borderId="5" xfId="0" applyNumberFormat="1" applyFont="1" applyFill="1" applyBorder="1"/>
    <xf numFmtId="0" fontId="2" fillId="2" borderId="6" xfId="0" applyFont="1" applyFill="1" applyBorder="1" applyAlignment="1"/>
    <xf numFmtId="0" fontId="3" fillId="3" borderId="1" xfId="0" applyFont="1" applyFill="1" applyBorder="1" applyAlignment="1"/>
    <xf numFmtId="0" fontId="2" fillId="3" borderId="4" xfId="0" applyFont="1" applyFill="1" applyBorder="1" applyAlignment="1"/>
    <xf numFmtId="164" fontId="2" fillId="3" borderId="0" xfId="0" applyNumberFormat="1" applyFont="1" applyFill="1" applyBorder="1"/>
    <xf numFmtId="164" fontId="2" fillId="3" borderId="5" xfId="0" applyNumberFormat="1" applyFont="1" applyFill="1" applyBorder="1"/>
    <xf numFmtId="0" fontId="2" fillId="3" borderId="6" xfId="0" applyFont="1" applyFill="1" applyBorder="1" applyAlignment="1"/>
    <xf numFmtId="164" fontId="2" fillId="3" borderId="7" xfId="0" applyNumberFormat="1" applyFont="1" applyFill="1" applyBorder="1"/>
    <xf numFmtId="164" fontId="2" fillId="3" borderId="8" xfId="0" applyNumberFormat="1" applyFont="1" applyFill="1" applyBorder="1"/>
    <xf numFmtId="0" fontId="3" fillId="2" borderId="1" xfId="0" applyFont="1" applyFill="1" applyBorder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2" borderId="5" xfId="0" applyNumberFormat="1" applyFont="1" applyFill="1" applyBorder="1"/>
    <xf numFmtId="10" fontId="2" fillId="2" borderId="8" xfId="0" applyNumberFormat="1" applyFont="1" applyFill="1" applyBorder="1"/>
    <xf numFmtId="0" fontId="2" fillId="2" borderId="0" xfId="0" applyFont="1" applyFill="1" applyBorder="1" applyAlignment="1"/>
    <xf numFmtId="0" fontId="0" fillId="0" borderId="0" xfId="0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9" fontId="2" fillId="2" borderId="8" xfId="0" applyNumberFormat="1" applyFont="1" applyFill="1" applyBorder="1"/>
    <xf numFmtId="38" fontId="0" fillId="0" borderId="0" xfId="0" applyNumberFormat="1"/>
    <xf numFmtId="40" fontId="0" fillId="0" borderId="0" xfId="0" applyNumberFormat="1"/>
    <xf numFmtId="0" fontId="4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165" fontId="0" fillId="0" borderId="0" xfId="0" applyNumberFormat="1"/>
    <xf numFmtId="0" fontId="4" fillId="0" borderId="0" xfId="0" quotePrefix="1" applyFont="1"/>
    <xf numFmtId="166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2" fontId="2" fillId="4" borderId="5" xfId="0" applyNumberFormat="1" applyFont="1" applyFill="1" applyBorder="1"/>
    <xf numFmtId="0" fontId="4" fillId="4" borderId="5" xfId="0" applyFont="1" applyFill="1" applyBorder="1" applyAlignment="1">
      <alignment horizontal="right"/>
    </xf>
    <xf numFmtId="9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/>
    </xf>
    <xf numFmtId="4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/>
    </xf>
    <xf numFmtId="0" fontId="4" fillId="0" borderId="9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9" xfId="0" applyBorder="1"/>
    <xf numFmtId="0" fontId="0" fillId="0" borderId="0" xfId="0" applyBorder="1"/>
    <xf numFmtId="0" fontId="0" fillId="0" borderId="10" xfId="0" applyBorder="1"/>
    <xf numFmtId="9" fontId="0" fillId="0" borderId="0" xfId="0" applyNumberFormat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38" fontId="0" fillId="0" borderId="0" xfId="0" applyNumberFormat="1" applyBorder="1" applyAlignment="1">
      <alignment horizontal="center"/>
    </xf>
    <xf numFmtId="38" fontId="0" fillId="0" borderId="0" xfId="0" applyNumberFormat="1" applyBorder="1" applyAlignment="1">
      <alignment horizontal="center" vertical="center"/>
    </xf>
    <xf numFmtId="168" fontId="0" fillId="0" borderId="1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38" fontId="5" fillId="0" borderId="0" xfId="0" applyNumberFormat="1" applyFont="1" applyAlignment="1">
      <alignment horizontal="center" vertical="center"/>
    </xf>
    <xf numFmtId="38" fontId="5" fillId="0" borderId="0" xfId="0" applyNumberFormat="1" applyFont="1"/>
    <xf numFmtId="0" fontId="2" fillId="3" borderId="0" xfId="0" applyFont="1" applyFill="1" applyBorder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0" fontId="3" fillId="5" borderId="0" xfId="0" applyFont="1" applyFill="1" applyBorder="1" applyAlignment="1"/>
    <xf numFmtId="0" fontId="4" fillId="0" borderId="0" xfId="0" applyFont="1" applyFill="1" applyBorder="1" applyAlignment="1">
      <alignment horizontal="center" vertical="center"/>
    </xf>
    <xf numFmtId="167" fontId="0" fillId="7" borderId="0" xfId="0" applyNumberFormat="1" applyFill="1" applyAlignment="1">
      <alignment horizontal="center" vertical="center"/>
    </xf>
    <xf numFmtId="9" fontId="4" fillId="7" borderId="0" xfId="0" applyNumberFormat="1" applyFont="1" applyFill="1" applyAlignment="1">
      <alignment horizontal="center" vertical="center"/>
    </xf>
    <xf numFmtId="0" fontId="4" fillId="8" borderId="0" xfId="0" applyFont="1" applyFill="1"/>
    <xf numFmtId="0" fontId="4" fillId="8" borderId="0" xfId="0" applyFont="1" applyFill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38" fontId="0" fillId="8" borderId="0" xfId="0" applyNumberFormat="1" applyFill="1" applyAlignment="1">
      <alignment horizontal="center" vertical="center"/>
    </xf>
    <xf numFmtId="38" fontId="5" fillId="8" borderId="0" xfId="0" applyNumberFormat="1" applyFont="1" applyFill="1" applyAlignment="1">
      <alignment horizontal="center" vertical="center"/>
    </xf>
    <xf numFmtId="0" fontId="4" fillId="3" borderId="9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4" fillId="7" borderId="0" xfId="0" applyFont="1" applyFill="1"/>
    <xf numFmtId="0" fontId="0" fillId="7" borderId="0" xfId="0" applyFill="1"/>
    <xf numFmtId="10" fontId="0" fillId="0" borderId="0" xfId="1" applyNumberFormat="1" applyFont="1"/>
    <xf numFmtId="0" fontId="0" fillId="7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Case1!$F$3:$F$33</c:f>
              <c:numCache>
                <c:formatCode>#,##0.00_);[Red]\(#,##0.00\)</c:formatCode>
                <c:ptCount val="31"/>
                <c:pt idx="0" formatCode="General">
                  <c:v>100</c:v>
                </c:pt>
                <c:pt idx="1">
                  <c:v>101.1656136698917</c:v>
                </c:pt>
                <c:pt idx="2">
                  <c:v>101.02099722385003</c:v>
                </c:pt>
                <c:pt idx="3">
                  <c:v>100.52077382822716</c:v>
                </c:pt>
                <c:pt idx="4">
                  <c:v>100.75242072055185</c:v>
                </c:pt>
                <c:pt idx="5">
                  <c:v>101.24953690047961</c:v>
                </c:pt>
                <c:pt idx="6">
                  <c:v>99.456623353619193</c:v>
                </c:pt>
                <c:pt idx="7">
                  <c:v>97.982945020633423</c:v>
                </c:pt>
                <c:pt idx="8">
                  <c:v>97.221000342758018</c:v>
                </c:pt>
                <c:pt idx="9">
                  <c:v>96.466246545600228</c:v>
                </c:pt>
                <c:pt idx="10">
                  <c:v>95.358330983029134</c:v>
                </c:pt>
                <c:pt idx="11">
                  <c:v>95.71223378363571</c:v>
                </c:pt>
                <c:pt idx="12">
                  <c:v>96.294023900294391</c:v>
                </c:pt>
                <c:pt idx="13">
                  <c:v>96.19293491661081</c:v>
                </c:pt>
                <c:pt idx="14">
                  <c:v>96.492638222785331</c:v>
                </c:pt>
                <c:pt idx="15">
                  <c:v>97.381068990912283</c:v>
                </c:pt>
                <c:pt idx="16">
                  <c:v>97.378404205592872</c:v>
                </c:pt>
                <c:pt idx="17">
                  <c:v>97.902535783232267</c:v>
                </c:pt>
                <c:pt idx="18">
                  <c:v>96.782633446916762</c:v>
                </c:pt>
                <c:pt idx="19">
                  <c:v>96.234642620303177</c:v>
                </c:pt>
                <c:pt idx="20">
                  <c:v>96.716496099072998</c:v>
                </c:pt>
                <c:pt idx="21">
                  <c:v>95.040046597100897</c:v>
                </c:pt>
                <c:pt idx="22">
                  <c:v>96.219222488196323</c:v>
                </c:pt>
                <c:pt idx="23">
                  <c:v>97.447812982082326</c:v>
                </c:pt>
                <c:pt idx="24">
                  <c:v>96.672722844062491</c:v>
                </c:pt>
                <c:pt idx="25">
                  <c:v>96.343517103159911</c:v>
                </c:pt>
                <c:pt idx="26">
                  <c:v>95.239635000929468</c:v>
                </c:pt>
                <c:pt idx="27">
                  <c:v>95.577610615526126</c:v>
                </c:pt>
                <c:pt idx="28">
                  <c:v>96.053170914231217</c:v>
                </c:pt>
                <c:pt idx="29">
                  <c:v>95.76052451215503</c:v>
                </c:pt>
                <c:pt idx="30">
                  <c:v>93.918767513472929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06-7440-AE0B-28C7A8170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3570415"/>
        <c:axId val="993136671"/>
      </c:lineChart>
      <c:catAx>
        <c:axId val="9935704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993136671"/>
        <c:crosses val="autoZero"/>
        <c:auto val="1"/>
        <c:lblAlgn val="ctr"/>
        <c:lblOffset val="100"/>
        <c:noMultiLvlLbl val="0"/>
      </c:catAx>
      <c:valAx>
        <c:axId val="993136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993570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16</xdr:row>
          <xdr:rowOff>88900</xdr:rowOff>
        </xdr:from>
        <xdr:to>
          <xdr:col>1</xdr:col>
          <xdr:colOff>215900</xdr:colOff>
          <xdr:row>19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520700</xdr:colOff>
      <xdr:row>34</xdr:row>
      <xdr:rowOff>88900</xdr:rowOff>
    </xdr:from>
    <xdr:to>
      <xdr:col>11</xdr:col>
      <xdr:colOff>685800</xdr:colOff>
      <xdr:row>51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16</xdr:row>
          <xdr:rowOff>88900</xdr:rowOff>
        </xdr:from>
        <xdr:to>
          <xdr:col>1</xdr:col>
          <xdr:colOff>215900</xdr:colOff>
          <xdr:row>19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16</xdr:row>
          <xdr:rowOff>88900</xdr:rowOff>
        </xdr:from>
        <xdr:to>
          <xdr:col>1</xdr:col>
          <xdr:colOff>215900</xdr:colOff>
          <xdr:row>19</xdr:row>
          <xdr:rowOff>12700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G17"/>
  <sheetViews>
    <sheetView showGridLines="0" workbookViewId="0">
      <selection sqref="A1:F21"/>
    </sheetView>
  </sheetViews>
  <sheetFormatPr baseColWidth="10" defaultColWidth="9.1640625" defaultRowHeight="15.75" customHeight="1" x14ac:dyDescent="0.2"/>
  <cols>
    <col min="1" max="1" width="18.6640625" style="3" customWidth="1"/>
    <col min="2" max="2" width="9" style="2" customWidth="1"/>
    <col min="3" max="3" width="3.5" style="3" customWidth="1"/>
    <col min="4" max="4" width="12" style="3" customWidth="1"/>
    <col min="5" max="16384" width="9.1640625" style="3"/>
  </cols>
  <sheetData>
    <row r="1" spans="1:7" ht="15.75" customHeight="1" thickBot="1" x14ac:dyDescent="0.25">
      <c r="B1" s="3"/>
    </row>
    <row r="2" spans="1:7" ht="15.75" customHeight="1" x14ac:dyDescent="0.2">
      <c r="A2" s="18" t="s">
        <v>9</v>
      </c>
      <c r="B2" s="5"/>
      <c r="D2" s="11" t="s">
        <v>15</v>
      </c>
      <c r="E2" s="19" t="s">
        <v>7</v>
      </c>
      <c r="F2" s="20" t="s">
        <v>14</v>
      </c>
    </row>
    <row r="3" spans="1:7" ht="15.75" customHeight="1" x14ac:dyDescent="0.2">
      <c r="A3" s="6" t="s">
        <v>11</v>
      </c>
      <c r="B3" s="7">
        <v>50</v>
      </c>
      <c r="D3" s="12" t="s">
        <v>13</v>
      </c>
      <c r="E3" s="13">
        <f>optionPrice("C",StockPrice,StrikePrice,TimeToExpiry,RiskFreeRate,Volatility,Dividend)</f>
        <v>2.9892644052894788</v>
      </c>
      <c r="F3" s="14">
        <f>optionPrice("P",StockPrice,StrikePrice,TimeToExpiry,RiskFreeRate,Volatility,Dividend)</f>
        <v>2.9892644052894788</v>
      </c>
    </row>
    <row r="4" spans="1:7" ht="15.75" customHeight="1" x14ac:dyDescent="0.2">
      <c r="A4" s="6" t="s">
        <v>12</v>
      </c>
      <c r="B4" s="7">
        <v>50</v>
      </c>
      <c r="D4" s="12" t="s">
        <v>1</v>
      </c>
      <c r="E4" s="13">
        <f>OptionDelta("C",StockPrice,StrikePrice,TimeToExpiry,RiskFreeRate,Volatility,Dividend)</f>
        <v>0.52989264405289482</v>
      </c>
      <c r="F4" s="14">
        <f>OptionDelta("P",StockPrice,StrikePrice,TimeToExpiry,RiskFreeRate,Volatility,Dividend)</f>
        <v>-0.47010735594710518</v>
      </c>
    </row>
    <row r="5" spans="1:7" ht="15.75" customHeight="1" x14ac:dyDescent="0.2">
      <c r="A5" s="6" t="s">
        <v>10</v>
      </c>
      <c r="B5" s="21">
        <v>1</v>
      </c>
      <c r="D5" s="12" t="s">
        <v>2</v>
      </c>
      <c r="E5" s="13" t="e">
        <f ca="1">_xludf.Gamma(StockPrice,StrikePrice,TimeToExpiry,RiskFreeRate,Volatility,Dividend)</f>
        <v>#NAME?</v>
      </c>
      <c r="F5" s="14" t="e">
        <f ca="1">_xludf.Gamma(StockPrice,StrikePrice,TimeToExpiry,RiskFreeRate,Volatility,Dividend)</f>
        <v>#NAME?</v>
      </c>
    </row>
    <row r="6" spans="1:7" ht="15.75" customHeight="1" x14ac:dyDescent="0.2">
      <c r="A6" s="6" t="s">
        <v>5</v>
      </c>
      <c r="B6" s="8">
        <v>0.15</v>
      </c>
      <c r="D6" s="12" t="s">
        <v>4</v>
      </c>
      <c r="E6" s="13">
        <f>OptionTheta("C",StockPrice,StrikePrice,TimeToExpiry,RiskFreeRate,Volatility,Dividend)</f>
        <v>-4.0872105987071628E-3</v>
      </c>
      <c r="F6" s="14">
        <f>OptionTheta("P",StockPrice,StrikePrice,TimeToExpiry,RiskFreeRate,Volatility,Dividend)</f>
        <v>-4.0872105987071628E-3</v>
      </c>
    </row>
    <row r="7" spans="1:7" ht="15.75" customHeight="1" x14ac:dyDescent="0.2">
      <c r="A7" s="6" t="s">
        <v>0</v>
      </c>
      <c r="B7" s="9">
        <v>0</v>
      </c>
      <c r="D7" s="12" t="s">
        <v>3</v>
      </c>
      <c r="E7" s="13">
        <f>vega(StockPrice,StrikePrice,TimeToExpiry,RiskFreeRate,Volatility,Dividend)</f>
        <v>0.19891091580374859</v>
      </c>
      <c r="F7" s="14">
        <f>vega(StockPrice,StrikePrice,TimeToExpiry,RiskFreeRate,Volatility,Dividend)</f>
        <v>0.19891091580374859</v>
      </c>
      <c r="G7" s="1"/>
    </row>
    <row r="8" spans="1:7" ht="15.75" customHeight="1" thickBot="1" x14ac:dyDescent="0.25">
      <c r="A8" s="10" t="s">
        <v>8</v>
      </c>
      <c r="B8" s="22">
        <v>0</v>
      </c>
      <c r="C8" s="1"/>
      <c r="D8" s="15" t="s">
        <v>6</v>
      </c>
      <c r="E8" s="16">
        <f>OptionRho("C",StockPrice,StrikePrice,TimeToExpiry,RiskFreeRate,Volatility,Dividend)</f>
        <v>0.23505367797355262</v>
      </c>
      <c r="F8" s="17">
        <f>OptionRho("P",StockPrice,StrikePrice,TimeToExpiry,RiskFreeRate,Volatility,Dividend)</f>
        <v>-0.26494632202644741</v>
      </c>
    </row>
    <row r="9" spans="1:7" ht="15.75" customHeight="1" x14ac:dyDescent="0.2">
      <c r="B9" s="3"/>
    </row>
    <row r="10" spans="1:7" ht="15.75" customHeight="1" x14ac:dyDescent="0.2">
      <c r="A10" s="4" t="s">
        <v>16</v>
      </c>
      <c r="B10" s="3"/>
    </row>
    <row r="11" spans="1:7" ht="15.75" customHeight="1" x14ac:dyDescent="0.2">
      <c r="B11" s="3"/>
    </row>
    <row r="12" spans="1:7" ht="15.75" customHeight="1" x14ac:dyDescent="0.2">
      <c r="B12" s="3"/>
      <c r="E12" s="1"/>
    </row>
    <row r="13" spans="1:7" ht="15.75" customHeight="1" x14ac:dyDescent="0.2">
      <c r="B13" s="3"/>
    </row>
    <row r="14" spans="1:7" ht="15.75" customHeight="1" x14ac:dyDescent="0.2">
      <c r="B14" s="3"/>
    </row>
    <row r="15" spans="1:7" ht="15.75" customHeight="1" x14ac:dyDescent="0.2">
      <c r="B15" s="3"/>
    </row>
    <row r="16" spans="1:7" ht="15.75" customHeight="1" x14ac:dyDescent="0.2">
      <c r="B16" s="3"/>
    </row>
    <row r="17" spans="2:2" ht="15.75" customHeight="1" x14ac:dyDescent="0.2">
      <c r="B17" s="3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50DE8-4D51-4629-9FD5-85F8B15B85F3}">
  <sheetPr codeName="Sheet1"/>
  <dimension ref="A1:W37"/>
  <sheetViews>
    <sheetView showGridLines="0" tabSelected="1" zoomScaleNormal="100" workbookViewId="0">
      <selection activeCell="F3" sqref="F3:G33"/>
    </sheetView>
  </sheetViews>
  <sheetFormatPr baseColWidth="10" defaultColWidth="8.83203125" defaultRowHeight="13" x14ac:dyDescent="0.15"/>
  <cols>
    <col min="1" max="1" width="15.83203125" customWidth="1"/>
    <col min="2" max="2" width="12" customWidth="1"/>
    <col min="3" max="3" width="9.83203125" bestFit="1" customWidth="1"/>
    <col min="4" max="4" width="6.33203125" customWidth="1"/>
    <col min="5" max="5" width="5.1640625" bestFit="1" customWidth="1"/>
    <col min="6" max="6" width="7.33203125" bestFit="1" customWidth="1"/>
    <col min="7" max="7" width="4.6640625" bestFit="1" customWidth="1"/>
    <col min="8" max="8" width="12.1640625" customWidth="1"/>
    <col min="9" max="9" width="8.83203125" style="26"/>
    <col min="10" max="10" width="11" customWidth="1"/>
    <col min="11" max="11" width="13.83203125" style="26" customWidth="1"/>
    <col min="12" max="12" width="20.1640625" style="24" bestFit="1" customWidth="1"/>
    <col min="13" max="13" width="14.5" customWidth="1"/>
    <col min="14" max="14" width="10.1640625" style="26" bestFit="1" customWidth="1"/>
    <col min="15" max="15" width="8.83203125" style="26" bestFit="1" customWidth="1"/>
    <col min="16" max="16" width="12.5" style="26" customWidth="1"/>
    <col min="17" max="18" width="8.83203125" style="26"/>
    <col min="19" max="19" width="10" customWidth="1"/>
    <col min="20" max="20" width="9.33203125" customWidth="1"/>
    <col min="21" max="21" width="10.1640625" style="24" customWidth="1"/>
    <col min="22" max="22" width="8.83203125" customWidth="1"/>
    <col min="23" max="23" width="9" customWidth="1"/>
  </cols>
  <sheetData>
    <row r="1" spans="1:23" x14ac:dyDescent="0.15">
      <c r="A1" s="31" t="s">
        <v>32</v>
      </c>
      <c r="P1" s="79" t="s">
        <v>37</v>
      </c>
      <c r="Q1" s="80"/>
      <c r="R1" s="81"/>
      <c r="S1" s="76" t="s">
        <v>38</v>
      </c>
      <c r="T1" s="77"/>
      <c r="U1" s="77"/>
      <c r="V1" s="78"/>
    </row>
    <row r="2" spans="1:23" ht="16" thickBot="1" x14ac:dyDescent="0.25">
      <c r="C2" s="32" t="s">
        <v>19</v>
      </c>
      <c r="D2" s="30" t="s">
        <v>27</v>
      </c>
      <c r="E2" s="25" t="s">
        <v>18</v>
      </c>
      <c r="F2" s="24" t="s">
        <v>19</v>
      </c>
      <c r="G2" s="30" t="s">
        <v>27</v>
      </c>
      <c r="H2" s="30" t="s">
        <v>34</v>
      </c>
      <c r="I2" s="32" t="s">
        <v>20</v>
      </c>
      <c r="J2" s="31" t="s">
        <v>22</v>
      </c>
      <c r="K2" s="26" t="s">
        <v>23</v>
      </c>
      <c r="L2" s="30" t="s">
        <v>39</v>
      </c>
      <c r="M2" s="70" t="s">
        <v>40</v>
      </c>
      <c r="N2" s="71" t="s">
        <v>31</v>
      </c>
      <c r="O2" s="71" t="s">
        <v>33</v>
      </c>
      <c r="P2" s="32" t="s">
        <v>35</v>
      </c>
      <c r="Q2" s="26" t="s">
        <v>4</v>
      </c>
      <c r="R2" s="32" t="s">
        <v>3</v>
      </c>
      <c r="S2" s="47" t="s">
        <v>2</v>
      </c>
      <c r="T2" s="48" t="s">
        <v>4</v>
      </c>
      <c r="U2" s="48" t="s">
        <v>3</v>
      </c>
      <c r="V2" s="49" t="s">
        <v>36</v>
      </c>
      <c r="W2" s="67" t="s">
        <v>41</v>
      </c>
    </row>
    <row r="3" spans="1:23" ht="15" x14ac:dyDescent="0.2">
      <c r="A3" s="18" t="s">
        <v>26</v>
      </c>
      <c r="B3" s="5"/>
      <c r="C3" s="68">
        <f>B4</f>
        <v>100</v>
      </c>
      <c r="D3" s="69">
        <f ca="1">$B$13+RAND()*($B$14-$B$13)</f>
        <v>0.16629779324881674</v>
      </c>
      <c r="E3" s="26">
        <v>0</v>
      </c>
      <c r="F3" s="26">
        <v>100</v>
      </c>
      <c r="G3" s="44">
        <v>0.16408151773845303</v>
      </c>
      <c r="H3" s="44"/>
      <c r="I3" s="45">
        <f>$B$6-E3/365</f>
        <v>8.2191780821917804E-2</v>
      </c>
      <c r="J3" s="34" cm="1">
        <f t="array" ref="J3">optionPrice($B$7,F3,$B$5,I3,0,G3,0)*$B$9</f>
        <v>18764.797605193879</v>
      </c>
      <c r="K3" s="37" cm="1">
        <f t="array" ref="K3">OptionDelta($B$7,F3,$B$5,I3,0,G3,0)*$B$9</f>
        <v>5093.8239880259698</v>
      </c>
      <c r="L3" s="38">
        <f>-K3</f>
        <v>-5093.8239880259698</v>
      </c>
      <c r="M3" s="72"/>
      <c r="N3" s="73"/>
      <c r="O3" s="73"/>
      <c r="P3" s="34" cm="1">
        <f t="array" ref="P3">OptionGamma(F3,$B$5,I3,0,G3,0)*F3^2/100*$B$9</f>
        <v>84784.424915610653</v>
      </c>
      <c r="Q3" s="34" cm="1">
        <f t="array" ref="Q3">OptionTheta($B$7,F3,$B$5,I3,0,G3,0)*$B$9</f>
        <v>-312.6889597911553</v>
      </c>
      <c r="R3" s="42" cm="1">
        <f t="array" ref="R3">vega(F3,$B$5,I3,0,G3,0)*$B$9</f>
        <v>1143.4156537590666</v>
      </c>
      <c r="S3" s="50"/>
      <c r="T3" s="51"/>
      <c r="U3" s="58"/>
      <c r="V3" s="52"/>
    </row>
    <row r="4" spans="1:23" ht="15" x14ac:dyDescent="0.2">
      <c r="A4" s="6" t="s">
        <v>11</v>
      </c>
      <c r="B4" s="7">
        <v>100</v>
      </c>
      <c r="C4" s="68">
        <f ca="1">C3*EXP($B$10*SQRT(1/365)*_xlfn.NORM.S.INV(RAND()))</f>
        <v>99.717992791998739</v>
      </c>
      <c r="D4" s="69">
        <f t="shared" ref="D4:D33" ca="1" si="0">$B$13+RAND()*($B$14-$B$13)</f>
        <v>0.18666561574860213</v>
      </c>
      <c r="E4" s="24">
        <v>1</v>
      </c>
      <c r="F4" s="29">
        <v>101.1656136698917</v>
      </c>
      <c r="G4" s="44">
        <v>0.18943595096308993</v>
      </c>
      <c r="H4" s="46">
        <f>F4/F3-1</f>
        <v>1.1656136698916963E-2</v>
      </c>
      <c r="I4" s="45">
        <f>$B$6-E4/365</f>
        <v>7.9452054794520541E-2</v>
      </c>
      <c r="J4" s="34" cm="1">
        <f t="array" ref="J4">optionPrice($B$7,F4,$B$5,I4,0,G4,0)*$B$9</f>
        <v>27754.359960002686</v>
      </c>
      <c r="K4" s="37" cm="1">
        <f t="array" ref="K4">OptionDelta($B$7,F4,$B$5,I4,0,G4,0)*$B$9</f>
        <v>5962.7959944078766</v>
      </c>
      <c r="L4" s="38">
        <f t="shared" ref="L4:L32" si="1">-(K4-K3)</f>
        <v>-868.97200638190679</v>
      </c>
      <c r="M4" s="74">
        <f>-K3*(F4-F3)</f>
        <v>-5937.4308724653156</v>
      </c>
      <c r="N4" s="74">
        <f>J4-J3</f>
        <v>8989.5623548088079</v>
      </c>
      <c r="O4" s="74">
        <f>M4+N4</f>
        <v>3052.1314823434923</v>
      </c>
      <c r="P4" s="34" cm="1">
        <f t="array" ref="P4">OptionGamma(F4,$B$5,I4,0,G4,0)*F4^2/100*$B$9</f>
        <v>73371.711942786744</v>
      </c>
      <c r="Q4" s="34" cm="1">
        <f t="array" ref="Q4">OptionTheta($B$7,F4,$B$5,I4,0,G4,0)*$B$9</f>
        <v>-360.68708930511804</v>
      </c>
      <c r="R4" s="42" cm="1">
        <f t="array" ref="R4">vega(F4,$B$5,I4,0,G4,0)*$B$9</f>
        <v>1104.3231801218615</v>
      </c>
      <c r="S4" s="54">
        <f>0.5*P3*H4^2*100</f>
        <v>575.96401058475988</v>
      </c>
      <c r="T4" s="56">
        <f>Q3</f>
        <v>-312.6889597911553</v>
      </c>
      <c r="U4" s="55">
        <f>R3*(G4-G3)*100</f>
        <v>2899.0655841238799</v>
      </c>
      <c r="V4" s="57">
        <f>SUM(S4:U4)</f>
        <v>3162.3406349174847</v>
      </c>
      <c r="W4" s="28">
        <f>O4-V4</f>
        <v>-110.20915257399247</v>
      </c>
    </row>
    <row r="5" spans="1:23" ht="15" x14ac:dyDescent="0.2">
      <c r="A5" s="6" t="s">
        <v>12</v>
      </c>
      <c r="B5" s="7">
        <v>100</v>
      </c>
      <c r="C5" s="68">
        <f ca="1">C4*EXP($B$10*SQRT(1/365)*_xlfn.NORM.S.INV(RAND()))</f>
        <v>100.47631212065254</v>
      </c>
      <c r="D5" s="69">
        <f t="shared" ca="1" si="0"/>
        <v>0.19933996859640346</v>
      </c>
      <c r="E5" s="26">
        <f>E4+1</f>
        <v>2</v>
      </c>
      <c r="F5" s="29">
        <v>101.02099722385003</v>
      </c>
      <c r="G5" s="44">
        <v>0.15742747970345231</v>
      </c>
      <c r="H5" s="46">
        <f t="shared" ref="H5:H33" si="2">F5/F4-1</f>
        <v>-1.4295019898120653E-3</v>
      </c>
      <c r="I5" s="45">
        <f t="shared" ref="I5:I33" si="3">$B$6-E5/365</f>
        <v>7.6712328767123278E-2</v>
      </c>
      <c r="J5" s="34" cm="1">
        <f t="array" ref="J5">optionPrice($B$7,F5,$B$5,I5,0,G5,0)*$B$9</f>
        <v>23059.574388394212</v>
      </c>
      <c r="K5" s="37" cm="1">
        <f t="array" ref="K5">OptionDelta($B$7,F5,$B$5,I5,0,G5,0)*$B$9</f>
        <v>6005.5091804285985</v>
      </c>
      <c r="L5" s="38">
        <f t="shared" si="1"/>
        <v>-42.713186020721878</v>
      </c>
      <c r="M5" s="74">
        <f t="shared" ref="M5:M31" si="4">-K4*(F5-F4)</f>
        <v>862.31836518275361</v>
      </c>
      <c r="N5" s="74">
        <f t="shared" ref="N5:N31" si="5">J5-J4</f>
        <v>-4694.7855716084741</v>
      </c>
      <c r="O5" s="74">
        <f t="shared" ref="O5:O31" si="6">M5+N5</f>
        <v>-3832.4672064257206</v>
      </c>
      <c r="P5" s="34" cm="1">
        <f t="array" ref="P5">OptionGamma(F5,$B$5,I5,0,G5,0)*F5^2/100*$B$9</f>
        <v>89477.467029475374</v>
      </c>
      <c r="Q5" s="34" cm="1">
        <f t="array" ref="Q5">OptionTheta($B$7,F5,$B$5,I5,0,G5,0)*$B$9</f>
        <v>-303.7749141588472</v>
      </c>
      <c r="R5" s="42" cm="1">
        <f t="array" ref="R5">vega(F5,$B$5,I5,0,G5,0)*$B$9</f>
        <v>1080.5861355933523</v>
      </c>
      <c r="S5" s="54">
        <f t="shared" ref="S5:S32" si="7">0.5*P4*H5^2*100</f>
        <v>7.4966663974636791</v>
      </c>
      <c r="T5" s="56">
        <f t="shared" ref="T5:T32" si="8">Q4</f>
        <v>-360.68708930511804</v>
      </c>
      <c r="U5" s="55">
        <f t="shared" ref="U5:U32" si="9">R4*(G5-G4)*100</f>
        <v>-3534.7696772282225</v>
      </c>
      <c r="V5" s="57">
        <f t="shared" ref="V5:V32" si="10">SUM(S5:U5)</f>
        <v>-3887.9601001358769</v>
      </c>
      <c r="W5" s="28">
        <f t="shared" ref="W5:W33" si="11">O5-V5</f>
        <v>55.492893710156295</v>
      </c>
    </row>
    <row r="6" spans="1:23" ht="15" x14ac:dyDescent="0.2">
      <c r="A6" s="6" t="s">
        <v>10</v>
      </c>
      <c r="B6" s="39">
        <f>30/365</f>
        <v>8.2191780821917804E-2</v>
      </c>
      <c r="C6" s="68">
        <f t="shared" ref="C6:C33" ca="1" si="12">C5*EXP($B$10*SQRT(1/365)*_xlfn.NORM.S.INV(RAND()))</f>
        <v>101.93352025455359</v>
      </c>
      <c r="D6" s="69">
        <f t="shared" ca="1" si="0"/>
        <v>0.17020515444410825</v>
      </c>
      <c r="E6" s="26">
        <f t="shared" ref="E6:E33" si="13">E5+1</f>
        <v>3</v>
      </c>
      <c r="F6" s="29">
        <v>100.52077382822716</v>
      </c>
      <c r="G6" s="44">
        <v>0.1795652386488884</v>
      </c>
      <c r="H6" s="46">
        <f t="shared" si="2"/>
        <v>-4.9516774667590635E-3</v>
      </c>
      <c r="I6" s="45">
        <f t="shared" si="3"/>
        <v>7.3972602739726029E-2</v>
      </c>
      <c r="J6" s="34" cm="1">
        <f t="array" ref="J6">optionPrice($B$7,F6,$B$5,I6,0,G6,0)*$B$9</f>
        <v>22246.541944918619</v>
      </c>
      <c r="K6" s="37" cm="1">
        <f t="array" ref="K6">OptionDelta($B$7,F6,$B$5,I6,0,G6,0)*$B$9</f>
        <v>5520.2344704359493</v>
      </c>
      <c r="L6" s="38">
        <f t="shared" si="1"/>
        <v>485.27470999264915</v>
      </c>
      <c r="M6" s="74">
        <f t="shared" si="4"/>
        <v>3004.0961946783</v>
      </c>
      <c r="N6" s="74">
        <f t="shared" si="5"/>
        <v>-813.03244347559303</v>
      </c>
      <c r="O6" s="74">
        <f t="shared" si="6"/>
        <v>2191.063751202707</v>
      </c>
      <c r="P6" s="34" cm="1">
        <f t="array" ref="P6">OptionGamma(F6,$B$5,I6,0,G6,0)*F6^2/100*$B$9</f>
        <v>81413.136058106771</v>
      </c>
      <c r="Q6" s="34" cm="1">
        <f t="array" ref="Q6">OptionTheta($B$7,F6,$B$5,I6,0,G6,0)*$B$9</f>
        <v>-359.59708139362942</v>
      </c>
      <c r="R6" s="42" cm="1">
        <f t="array" ref="R6">vega(F6,$B$5,I6,0,G6,0)*$B$9</f>
        <v>1081.4032014974407</v>
      </c>
      <c r="S6" s="54">
        <f t="shared" si="7"/>
        <v>109.69539164442507</v>
      </c>
      <c r="T6" s="56">
        <f t="shared" si="8"/>
        <v>-303.7749141588472</v>
      </c>
      <c r="U6" s="55">
        <f t="shared" si="9"/>
        <v>2392.175538954596</v>
      </c>
      <c r="V6" s="57">
        <f t="shared" si="10"/>
        <v>2198.096016440174</v>
      </c>
      <c r="W6" s="28">
        <f t="shared" si="11"/>
        <v>-7.0322652374670724</v>
      </c>
    </row>
    <row r="7" spans="1:23" ht="15" x14ac:dyDescent="0.2">
      <c r="A7" s="23" t="s">
        <v>24</v>
      </c>
      <c r="B7" s="40" t="s">
        <v>25</v>
      </c>
      <c r="C7" s="68">
        <f t="shared" ca="1" si="12"/>
        <v>102.08628954937565</v>
      </c>
      <c r="D7" s="69">
        <f t="shared" ca="1" si="0"/>
        <v>0.1996346846642349</v>
      </c>
      <c r="E7" s="26">
        <f t="shared" si="13"/>
        <v>4</v>
      </c>
      <c r="F7" s="29">
        <v>100.75242072055185</v>
      </c>
      <c r="G7" s="44">
        <v>0.16825581772285991</v>
      </c>
      <c r="H7" s="46">
        <f t="shared" si="2"/>
        <v>2.3044678577637256E-3</v>
      </c>
      <c r="I7" s="45">
        <f t="shared" si="3"/>
        <v>7.1232876712328766E-2</v>
      </c>
      <c r="J7" s="34" cm="1">
        <f t="array" ref="J7">optionPrice($B$7,F7,$B$5,I7,0,G7,0)*$B$9</f>
        <v>21993.027412692285</v>
      </c>
      <c r="K7" s="37" cm="1">
        <f t="array" ref="K7">OptionDelta($B$7,F7,$B$5,I7,0,G7,0)*$B$9</f>
        <v>5751.0187828825192</v>
      </c>
      <c r="L7" s="38">
        <f t="shared" si="1"/>
        <v>-230.78431244656986</v>
      </c>
      <c r="M7" s="74">
        <f t="shared" si="4"/>
        <v>-1278.7451599801193</v>
      </c>
      <c r="N7" s="74">
        <f t="shared" si="5"/>
        <v>-253.51453222633427</v>
      </c>
      <c r="O7" s="74">
        <f t="shared" si="6"/>
        <v>-1532.2596922064536</v>
      </c>
      <c r="P7" s="34" cm="1">
        <f t="array" ref="P7">OptionGamma(F7,$B$5,I7,0,G7,0)*F7^2/100*$B$9</f>
        <v>87915.897824219588</v>
      </c>
      <c r="Q7" s="34" cm="1">
        <f t="array" ref="Q7">OptionTheta($B$7,F7,$B$5,I7,0,G7,0)*$B$9</f>
        <v>-340.94532097161124</v>
      </c>
      <c r="R7" s="42" cm="1">
        <f t="array" ref="R7">vega(F7,$B$5,I7,0,G7,0)*$B$9</f>
        <v>1053.7024472892881</v>
      </c>
      <c r="S7" s="54">
        <f t="shared" si="7"/>
        <v>21.617516476576363</v>
      </c>
      <c r="T7" s="56">
        <f t="shared" si="8"/>
        <v>-359.59708139362942</v>
      </c>
      <c r="U7" s="55">
        <f t="shared" si="9"/>
        <v>-1223.004399648936</v>
      </c>
      <c r="V7" s="57">
        <f t="shared" si="10"/>
        <v>-1560.983964565989</v>
      </c>
      <c r="W7" s="28">
        <f t="shared" si="11"/>
        <v>28.724272359535462</v>
      </c>
    </row>
    <row r="8" spans="1:23" ht="15" x14ac:dyDescent="0.2">
      <c r="A8" s="6" t="s">
        <v>43</v>
      </c>
      <c r="B8" s="8">
        <v>0.15</v>
      </c>
      <c r="C8" s="68">
        <f t="shared" ca="1" si="12"/>
        <v>101.20746286419021</v>
      </c>
      <c r="D8" s="69">
        <f t="shared" ca="1" si="0"/>
        <v>0.16084248429874418</v>
      </c>
      <c r="E8" s="26">
        <f t="shared" si="13"/>
        <v>5</v>
      </c>
      <c r="F8" s="29">
        <v>101.24953690047961</v>
      </c>
      <c r="G8" s="44">
        <v>0.18268127103362294</v>
      </c>
      <c r="H8" s="46">
        <f t="shared" si="2"/>
        <v>4.9340370819135337E-3</v>
      </c>
      <c r="I8" s="45">
        <f t="shared" si="3"/>
        <v>6.8493150684931503E-2</v>
      </c>
      <c r="J8" s="34" cm="1">
        <f t="array" ref="J8">optionPrice($B$7,F8,$B$5,I8,0,G8,0)*$B$9</f>
        <v>26081.983227344808</v>
      </c>
      <c r="K8" s="37" cm="1">
        <f t="array" ref="K8">OptionDelta($B$7,F8,$B$5,I8,0,G8,0)*$B$9</f>
        <v>6116.572254953001</v>
      </c>
      <c r="L8" s="38">
        <f t="shared" si="1"/>
        <v>-365.5534720704818</v>
      </c>
      <c r="M8" s="74">
        <f t="shared" si="4"/>
        <v>-2858.924488039343</v>
      </c>
      <c r="N8" s="74">
        <f t="shared" si="5"/>
        <v>4088.9558146525233</v>
      </c>
      <c r="O8" s="74">
        <f t="shared" si="6"/>
        <v>1230.0313266131802</v>
      </c>
      <c r="P8" s="34" cm="1">
        <f t="array" ref="P8">OptionGamma(F8,$B$5,I8,0,G8,0)*F8^2/100*$B$9</f>
        <v>81155.048827000748</v>
      </c>
      <c r="Q8" s="34" cm="1">
        <f t="array" ref="Q8">OptionTheta($B$7,F8,$B$5,I8,0,G8,0)*$B$9</f>
        <v>-371.00582855228021</v>
      </c>
      <c r="R8" s="42" cm="1">
        <f t="array" ref="R8">vega(F8,$B$5,I8,0,G8,0)*$B$9</f>
        <v>1015.4457171583716</v>
      </c>
      <c r="S8" s="54">
        <f t="shared" si="7"/>
        <v>107.0144042689344</v>
      </c>
      <c r="T8" s="56">
        <f t="shared" si="8"/>
        <v>-340.94532097161124</v>
      </c>
      <c r="U8" s="55">
        <f t="shared" si="9"/>
        <v>1520.0135456808371</v>
      </c>
      <c r="V8" s="57">
        <f t="shared" si="10"/>
        <v>1286.0826289781603</v>
      </c>
      <c r="W8" s="28">
        <f t="shared" si="11"/>
        <v>-56.051302364980074</v>
      </c>
    </row>
    <row r="9" spans="1:23" ht="15" x14ac:dyDescent="0.2">
      <c r="A9" s="6" t="s">
        <v>17</v>
      </c>
      <c r="B9" s="21">
        <v>10000</v>
      </c>
      <c r="C9" s="68">
        <f t="shared" ca="1" si="12"/>
        <v>102.0666943194738</v>
      </c>
      <c r="D9" s="69">
        <f t="shared" ca="1" si="0"/>
        <v>0.19633117528419403</v>
      </c>
      <c r="E9" s="26">
        <f t="shared" si="13"/>
        <v>6</v>
      </c>
      <c r="F9" s="29">
        <v>99.456623353619193</v>
      </c>
      <c r="G9" s="44">
        <v>0.19528394595221141</v>
      </c>
      <c r="H9" s="46">
        <f t="shared" si="2"/>
        <v>-1.7707869109788721E-2</v>
      </c>
      <c r="I9" s="45">
        <f t="shared" si="3"/>
        <v>6.575342465753424E-2</v>
      </c>
      <c r="J9" s="34" cm="1">
        <f t="array" ref="J9">optionPrice($B$7,F9,$B$5,I9,0,G9,0)*$B$9</f>
        <v>17321.794487457395</v>
      </c>
      <c r="K9" s="37" cm="1">
        <f t="array" ref="K9">OptionDelta($B$7,F9,$B$5,I9,0,G9,0)*$B$9</f>
        <v>4666.1985791783582</v>
      </c>
      <c r="L9" s="38">
        <f t="shared" si="1"/>
        <v>1450.3736757746428</v>
      </c>
      <c r="M9" s="74">
        <f t="shared" si="4"/>
        <v>10966.485256255814</v>
      </c>
      <c r="N9" s="74">
        <f t="shared" si="5"/>
        <v>-8760.1887398874132</v>
      </c>
      <c r="O9" s="74">
        <f t="shared" si="6"/>
        <v>2206.2965163684003</v>
      </c>
      <c r="P9" s="34" cm="1">
        <f t="array" ref="P9">OptionGamma(F9,$B$5,I9,0,G9,0)*F9^2/100*$B$9</f>
        <v>78957.657051851958</v>
      </c>
      <c r="Q9" s="34" cm="1">
        <f t="array" ref="Q9">OptionTheta($B$7,F9,$B$5,I9,0,G9,0)*$B$9</f>
        <v>-412.48150152835399</v>
      </c>
      <c r="R9" s="42" cm="1">
        <f t="array" ref="R9">vega(F9,$B$5,I9,0,G9,0)*$B$9</f>
        <v>1013.8627615710973</v>
      </c>
      <c r="S9" s="54">
        <f t="shared" si="7"/>
        <v>1272.3838674590645</v>
      </c>
      <c r="T9" s="56">
        <f t="shared" si="8"/>
        <v>-371.00582855228021</v>
      </c>
      <c r="U9" s="55">
        <f t="shared" si="9"/>
        <v>1279.7332270819884</v>
      </c>
      <c r="V9" s="57">
        <f t="shared" si="10"/>
        <v>2181.1112659887726</v>
      </c>
      <c r="W9" s="28">
        <f t="shared" si="11"/>
        <v>25.185250379627632</v>
      </c>
    </row>
    <row r="10" spans="1:23" ht="16" thickBot="1" x14ac:dyDescent="0.25">
      <c r="A10" s="10" t="s">
        <v>21</v>
      </c>
      <c r="B10" s="27">
        <v>0.2</v>
      </c>
      <c r="C10" s="68">
        <f t="shared" ca="1" si="12"/>
        <v>102.35762098561366</v>
      </c>
      <c r="D10" s="69">
        <f t="shared" ca="1" si="0"/>
        <v>0.17006232597536594</v>
      </c>
      <c r="E10" s="26">
        <f t="shared" si="13"/>
        <v>7</v>
      </c>
      <c r="F10" s="29">
        <v>97.982945020633423</v>
      </c>
      <c r="G10" s="44">
        <v>0.17460416882308549</v>
      </c>
      <c r="H10" s="46">
        <f t="shared" si="2"/>
        <v>-1.4817297061715973E-2</v>
      </c>
      <c r="I10" s="45">
        <f t="shared" si="3"/>
        <v>6.3013698630136977E-2</v>
      </c>
      <c r="J10" s="34" cm="1">
        <f t="array" ref="J10">optionPrice($B$7,F10,$B$5,I10,0,G10,0)*$B$9</f>
        <v>9059.7371280773586</v>
      </c>
      <c r="K10" s="37" cm="1">
        <f t="array" ref="K10">OptionDelta($B$7,F10,$B$5,I10,0,G10,0)*$B$9</f>
        <v>3288.8701144370675</v>
      </c>
      <c r="L10" s="38">
        <f t="shared" si="1"/>
        <v>1377.3284647412906</v>
      </c>
      <c r="M10" s="74">
        <f t="shared" si="4"/>
        <v>6876.4757435441315</v>
      </c>
      <c r="N10" s="74">
        <f t="shared" si="5"/>
        <v>-8262.0573593800364</v>
      </c>
      <c r="O10" s="74">
        <f t="shared" si="6"/>
        <v>-1385.5816158359048</v>
      </c>
      <c r="P10" s="34" cm="1">
        <f t="array" ref="P10">OptionGamma(F10,$B$5,I10,0,G10,0)*F10^2/100*$B$9</f>
        <v>80849.201632876036</v>
      </c>
      <c r="Q10" s="34" cm="1">
        <f t="array" ref="Q10">OptionTheta($B$7,F10,$B$5,I10,0,G10,0)*$B$9</f>
        <v>-337.64637609933311</v>
      </c>
      <c r="R10" s="42" cm="1">
        <f t="array" ref="R10">vega(F10,$B$5,I10,0,G10,0)*$B$9</f>
        <v>889.53966020745861</v>
      </c>
      <c r="S10" s="54">
        <f t="shared" si="7"/>
        <v>866.76672968353796</v>
      </c>
      <c r="T10" s="56">
        <f t="shared" si="8"/>
        <v>-412.48150152835399</v>
      </c>
      <c r="U10" s="55">
        <f t="shared" si="9"/>
        <v>-2096.6455948810417</v>
      </c>
      <c r="V10" s="57">
        <f t="shared" si="10"/>
        <v>-1642.3603667258576</v>
      </c>
      <c r="W10" s="28">
        <f t="shared" si="11"/>
        <v>256.77875088995279</v>
      </c>
    </row>
    <row r="11" spans="1:23" x14ac:dyDescent="0.15">
      <c r="C11" s="68">
        <f t="shared" ca="1" si="12"/>
        <v>102.8406552450212</v>
      </c>
      <c r="D11" s="69">
        <f t="shared" ca="1" si="0"/>
        <v>0.1542649435257718</v>
      </c>
      <c r="E11" s="26">
        <f t="shared" si="13"/>
        <v>8</v>
      </c>
      <c r="F11" s="29">
        <v>97.221000342758018</v>
      </c>
      <c r="G11" s="44">
        <v>0.19507841085407629</v>
      </c>
      <c r="H11" s="46">
        <f t="shared" si="2"/>
        <v>-7.7762990050457281E-3</v>
      </c>
      <c r="I11" s="45">
        <f t="shared" si="3"/>
        <v>6.0273972602739721E-2</v>
      </c>
      <c r="J11" s="34" cm="1">
        <f t="array" ref="J11">optionPrice($B$7,F11,$B$5,I11,0,G11,0)*$B$9</f>
        <v>8114.449592972157</v>
      </c>
      <c r="K11" s="37" cm="1">
        <f t="array" ref="K11">OptionDelta($B$7,F11,$B$5,I11,0,G11,0)*$B$9</f>
        <v>2862.0100797666769</v>
      </c>
      <c r="L11" s="38">
        <f t="shared" si="1"/>
        <v>426.86003467039063</v>
      </c>
      <c r="M11" s="74">
        <f t="shared" si="4"/>
        <v>2505.9370799187986</v>
      </c>
      <c r="N11" s="74">
        <f t="shared" si="5"/>
        <v>-945.28753510520164</v>
      </c>
      <c r="O11" s="74">
        <f t="shared" si="6"/>
        <v>1560.649544813597</v>
      </c>
      <c r="P11" s="34" cm="1">
        <f t="array" ref="P11">OptionGamma(F11,$B$5,I11,0,G11,0)*F11^2/100*$B$9</f>
        <v>69055.068034550568</v>
      </c>
      <c r="Q11" s="34" cm="1">
        <f t="array" ref="Q11">OptionTheta($B$7,F11,$B$5,I11,0,G11,0)*$B$9</f>
        <v>-359.99056255602244</v>
      </c>
      <c r="R11" s="42" cm="1">
        <f t="array" ref="R11">vega(F11,$B$5,I11,0,G11,0)*$B$9</f>
        <v>811.95990284713821</v>
      </c>
      <c r="S11" s="54">
        <f t="shared" si="7"/>
        <v>244.45090108169495</v>
      </c>
      <c r="T11" s="56">
        <f t="shared" si="8"/>
        <v>-337.64637609933311</v>
      </c>
      <c r="U11" s="55">
        <f t="shared" si="9"/>
        <v>1821.2650299252821</v>
      </c>
      <c r="V11" s="57">
        <f t="shared" si="10"/>
        <v>1728.069554907644</v>
      </c>
      <c r="W11" s="28">
        <f t="shared" si="11"/>
        <v>-167.42001009404703</v>
      </c>
    </row>
    <row r="12" spans="1:23" ht="15" x14ac:dyDescent="0.2">
      <c r="A12" s="66" t="s">
        <v>28</v>
      </c>
      <c r="C12" s="68">
        <f t="shared" ca="1" si="12"/>
        <v>102.63899230042433</v>
      </c>
      <c r="D12" s="69">
        <f t="shared" ca="1" si="0"/>
        <v>0.15097316089236773</v>
      </c>
      <c r="E12" s="26">
        <f t="shared" si="13"/>
        <v>9</v>
      </c>
      <c r="F12" s="29">
        <v>96.466246545600228</v>
      </c>
      <c r="G12" s="44">
        <v>0.16675921060680379</v>
      </c>
      <c r="H12" s="46">
        <f t="shared" si="2"/>
        <v>-7.763279481766916E-3</v>
      </c>
      <c r="I12" s="45">
        <f t="shared" si="3"/>
        <v>5.7534246575342465E-2</v>
      </c>
      <c r="J12" s="34" cm="1">
        <f t="array" ref="J12">optionPrice($B$7,F12,$B$5,I12,0,G12,0)*$B$9</f>
        <v>3949.1326853448782</v>
      </c>
      <c r="K12" s="37" cm="1">
        <f t="array" ref="K12">OptionDelta($B$7,F12,$B$5,I12,0,G12,0)*$B$9</f>
        <v>1895.8135071056579</v>
      </c>
      <c r="L12" s="38">
        <f t="shared" si="1"/>
        <v>966.19657266101899</v>
      </c>
      <c r="M12" s="74">
        <f t="shared" si="4"/>
        <v>2160.1129752077677</v>
      </c>
      <c r="N12" s="74">
        <f t="shared" si="5"/>
        <v>-4165.3169076272789</v>
      </c>
      <c r="O12" s="74">
        <f t="shared" si="6"/>
        <v>-2005.2039324195111</v>
      </c>
      <c r="P12" s="34" cm="1">
        <f t="array" ref="P12">OptionGamma(F12,$B$5,I12,0,G12,0)*F12^2/100*$B$9</f>
        <v>65356.305467838036</v>
      </c>
      <c r="Q12" s="34" cm="1">
        <f t="array" ref="Q12">OptionTheta($B$7,F12,$B$5,I12,0,G12,0)*$B$9</f>
        <v>-248.96843827471125</v>
      </c>
      <c r="R12" s="42" cm="1">
        <f t="array" ref="R12">vega(F12,$B$5,I12,0,G12,0)*$B$9</f>
        <v>627.05228511745179</v>
      </c>
      <c r="S12" s="54">
        <f t="shared" si="7"/>
        <v>208.09229709138194</v>
      </c>
      <c r="T12" s="56">
        <f t="shared" si="8"/>
        <v>-359.99056255602244</v>
      </c>
      <c r="U12" s="55">
        <f t="shared" si="9"/>
        <v>-2299.405508148403</v>
      </c>
      <c r="V12" s="57">
        <f t="shared" si="10"/>
        <v>-2451.3037736130436</v>
      </c>
      <c r="W12" s="28">
        <f t="shared" si="11"/>
        <v>446.09984119353248</v>
      </c>
    </row>
    <row r="13" spans="1:23" ht="15" x14ac:dyDescent="0.15">
      <c r="A13" s="64" t="s">
        <v>29</v>
      </c>
      <c r="B13" s="65">
        <v>0.15</v>
      </c>
      <c r="C13" s="68">
        <f t="shared" ca="1" si="12"/>
        <v>102.05700947908689</v>
      </c>
      <c r="D13" s="69">
        <f t="shared" ca="1" si="0"/>
        <v>0.18457811803761526</v>
      </c>
      <c r="E13" s="26">
        <f t="shared" si="13"/>
        <v>10</v>
      </c>
      <c r="F13" s="29">
        <v>95.358330983029134</v>
      </c>
      <c r="G13" s="44">
        <v>0.18792240432037005</v>
      </c>
      <c r="H13" s="46">
        <f t="shared" si="2"/>
        <v>-1.148500747406378E-2</v>
      </c>
      <c r="I13" s="45">
        <f t="shared" si="3"/>
        <v>5.4794520547945202E-2</v>
      </c>
      <c r="J13" s="34" cm="1">
        <f t="array" ref="J13">optionPrice($B$7,F13,$B$5,I13,0,G13,0)*$B$9</f>
        <v>3062.8553505824739</v>
      </c>
      <c r="K13" s="37" cm="1">
        <f t="array" ref="K13">OptionDelta($B$7,F13,$B$5,I13,0,G13,0)*$B$9</f>
        <v>1449.227178191039</v>
      </c>
      <c r="L13" s="38">
        <f t="shared" si="1"/>
        <v>446.58632891461889</v>
      </c>
      <c r="M13" s="74">
        <f t="shared" si="4"/>
        <v>2100.4012882548436</v>
      </c>
      <c r="N13" s="74">
        <f t="shared" si="5"/>
        <v>-886.27733476240428</v>
      </c>
      <c r="O13" s="74">
        <f t="shared" si="6"/>
        <v>1214.1239534924393</v>
      </c>
      <c r="P13" s="34" cm="1">
        <f t="array" ref="P13">OptionGamma(F13,$B$5,I13,0,G13,0)*F13^2/100*$B$9</f>
        <v>49390.454598565004</v>
      </c>
      <c r="Q13" s="34" cm="1">
        <f t="array" ref="Q13">OptionTheta($B$7,F13,$B$5,I13,0,G13,0)*$B$9</f>
        <v>-238.93363150968614</v>
      </c>
      <c r="R13" s="42" cm="1">
        <f t="array" ref="R13">vega(F13,$B$5,I13,0,G13,0)*$B$9</f>
        <v>508.57934129525535</v>
      </c>
      <c r="S13" s="54">
        <f t="shared" si="7"/>
        <v>431.04246991143685</v>
      </c>
      <c r="T13" s="56">
        <f t="shared" si="8"/>
        <v>-248.96843827471125</v>
      </c>
      <c r="U13" s="55">
        <f t="shared" si="9"/>
        <v>1327.0428978475013</v>
      </c>
      <c r="V13" s="57">
        <f t="shared" si="10"/>
        <v>1509.1169294842268</v>
      </c>
      <c r="W13" s="28">
        <f t="shared" si="11"/>
        <v>-294.99297599178749</v>
      </c>
    </row>
    <row r="14" spans="1:23" ht="15" x14ac:dyDescent="0.15">
      <c r="A14" s="64" t="s">
        <v>30</v>
      </c>
      <c r="B14" s="65">
        <v>0.2</v>
      </c>
      <c r="C14" s="68">
        <f t="shared" ca="1" si="12"/>
        <v>103.09551026939182</v>
      </c>
      <c r="D14" s="69">
        <f t="shared" ca="1" si="0"/>
        <v>0.17620222700819907</v>
      </c>
      <c r="E14" s="26">
        <f t="shared" si="13"/>
        <v>11</v>
      </c>
      <c r="F14" s="29">
        <v>95.71223378363571</v>
      </c>
      <c r="G14" s="44">
        <v>0.1820974284064607</v>
      </c>
      <c r="H14" s="46">
        <f t="shared" si="2"/>
        <v>3.7112939892955943E-3</v>
      </c>
      <c r="I14" s="45">
        <f t="shared" si="3"/>
        <v>5.205479452054794E-2</v>
      </c>
      <c r="J14" s="34" cm="1">
        <f t="array" ref="J14">optionPrice($B$7,F14,$B$5,I14,0,G14,0)*$B$9</f>
        <v>3047.0060312433843</v>
      </c>
      <c r="K14" s="37" cm="1">
        <f t="array" ref="K14">OptionDelta($B$7,F14,$B$5,I14,0,G14,0)*$B$9</f>
        <v>1505.5710444875024</v>
      </c>
      <c r="L14" s="38">
        <f t="shared" si="1"/>
        <v>-56.343866296463375</v>
      </c>
      <c r="M14" s="74">
        <f t="shared" si="4"/>
        <v>-512.88555707697446</v>
      </c>
      <c r="N14" s="74">
        <f t="shared" si="5"/>
        <v>-15.849319339089561</v>
      </c>
      <c r="O14" s="74">
        <f t="shared" si="6"/>
        <v>-528.73487641606403</v>
      </c>
      <c r="P14" s="34" cm="1">
        <f t="array" ref="P14">OptionGamma(F14,$B$5,I14,0,G14,0)*F14^2/100*$B$9</f>
        <v>53846.561027512376</v>
      </c>
      <c r="Q14" s="34" cm="1">
        <f t="array" ref="Q14">OptionTheta($B$7,F14,$B$5,I14,0,G14,0)*$B$9</f>
        <v>-244.59227531638541</v>
      </c>
      <c r="R14" s="42" cm="1">
        <f t="array" ref="R14">vega(F14,$B$5,I14,0,G14,0)*$B$9</f>
        <v>510.41393298956001</v>
      </c>
      <c r="S14" s="54">
        <f t="shared" si="7"/>
        <v>34.014472818949706</v>
      </c>
      <c r="T14" s="56">
        <f t="shared" si="8"/>
        <v>-238.93363150968614</v>
      </c>
      <c r="U14" s="55">
        <f t="shared" si="9"/>
        <v>-296.24624133567437</v>
      </c>
      <c r="V14" s="57">
        <f t="shared" si="10"/>
        <v>-501.16540002641079</v>
      </c>
      <c r="W14" s="28">
        <f t="shared" si="11"/>
        <v>-27.569476389653232</v>
      </c>
    </row>
    <row r="15" spans="1:23" x14ac:dyDescent="0.15">
      <c r="C15" s="68">
        <f t="shared" ca="1" si="12"/>
        <v>102.84006255005511</v>
      </c>
      <c r="D15" s="69">
        <f t="shared" ca="1" si="0"/>
        <v>0.19867452164601282</v>
      </c>
      <c r="E15" s="26">
        <f t="shared" si="13"/>
        <v>12</v>
      </c>
      <c r="F15" s="29">
        <v>96.294023900294391</v>
      </c>
      <c r="G15" s="44">
        <v>0.15091328366026838</v>
      </c>
      <c r="H15" s="46">
        <f t="shared" si="2"/>
        <v>6.0785345160145887E-3</v>
      </c>
      <c r="I15" s="45">
        <f t="shared" si="3"/>
        <v>4.9315068493150684E-2</v>
      </c>
      <c r="J15" s="34" cm="1">
        <f t="array" ref="J15">optionPrice($B$7,F15,$B$5,I15,0,G15,0)*$B$9</f>
        <v>2139.2867948878979</v>
      </c>
      <c r="K15" s="37" cm="1">
        <f t="array" ref="K15">OptionDelta($B$7,F15,$B$5,I15,0,G15,0)*$B$9</f>
        <v>1334.8290003279617</v>
      </c>
      <c r="L15" s="38">
        <f t="shared" si="1"/>
        <v>170.74204415954068</v>
      </c>
      <c r="M15" s="74">
        <f t="shared" si="4"/>
        <v>-875.9263536103158</v>
      </c>
      <c r="N15" s="74">
        <f t="shared" si="5"/>
        <v>-907.71923635548637</v>
      </c>
      <c r="O15" s="74">
        <f t="shared" si="6"/>
        <v>-1783.6455899658022</v>
      </c>
      <c r="P15" s="34" cm="1">
        <f t="array" ref="P15">OptionGamma(F15,$B$5,I15,0,G15,0)*F15^2/100*$B$9</f>
        <v>61902.447851245903</v>
      </c>
      <c r="Q15" s="34" cm="1">
        <f t="array" ref="Q15">OptionTheta($B$7,F15,$B$5,I15,0,G15,0)*$B$9</f>
        <v>-193.12562423681265</v>
      </c>
      <c r="R15" s="42" cm="1">
        <f t="array" ref="R15">vega(F15,$B$5,I15,0,G15,0)*$B$9</f>
        <v>460.69652080307077</v>
      </c>
      <c r="S15" s="54">
        <f t="shared" si="7"/>
        <v>99.477703406635996</v>
      </c>
      <c r="T15" s="56">
        <f t="shared" si="8"/>
        <v>-244.59227531638541</v>
      </c>
      <c r="U15" s="55">
        <f t="shared" si="9"/>
        <v>-1591.682196681975</v>
      </c>
      <c r="V15" s="57">
        <f t="shared" si="10"/>
        <v>-1736.7967685917245</v>
      </c>
      <c r="W15" s="28">
        <f t="shared" si="11"/>
        <v>-46.848821374077716</v>
      </c>
    </row>
    <row r="16" spans="1:23" x14ac:dyDescent="0.15">
      <c r="C16" s="68">
        <f t="shared" ca="1" si="12"/>
        <v>101.39907101150662</v>
      </c>
      <c r="D16" s="69">
        <f t="shared" ca="1" si="0"/>
        <v>0.17900489073186612</v>
      </c>
      <c r="E16" s="26">
        <f t="shared" si="13"/>
        <v>13</v>
      </c>
      <c r="F16" s="29">
        <v>96.19293491661081</v>
      </c>
      <c r="G16" s="44">
        <v>0.17712243239842654</v>
      </c>
      <c r="H16" s="46">
        <f t="shared" si="2"/>
        <v>-1.0497949881942414E-3</v>
      </c>
      <c r="I16" s="45">
        <f t="shared" si="3"/>
        <v>4.6575342465753421E-2</v>
      </c>
      <c r="J16" s="34" cm="1">
        <f t="array" ref="J16">optionPrice($B$7,F16,$B$5,I16,0,G16,0)*$B$9</f>
        <v>3032.632256425316</v>
      </c>
      <c r="K16" s="37" cm="1">
        <f t="array" ref="K16">OptionDelta($B$7,F16,$B$5,I16,0,G16,0)*$B$9</f>
        <v>1595.5375025213968</v>
      </c>
      <c r="L16" s="38">
        <f t="shared" si="1"/>
        <v>-260.70850219343515</v>
      </c>
      <c r="M16" s="74">
        <f t="shared" si="4"/>
        <v>134.93650703452479</v>
      </c>
      <c r="N16" s="74">
        <f t="shared" si="5"/>
        <v>893.34546153741803</v>
      </c>
      <c r="O16" s="74">
        <f t="shared" si="6"/>
        <v>1028.2819685719428</v>
      </c>
      <c r="P16" s="34" cm="1">
        <f t="array" ref="P16">OptionGamma(F16,$B$5,I16,0,G16,0)*F16^2/100*$B$9</f>
        <v>61116.866509388798</v>
      </c>
      <c r="Q16" s="34" cm="1">
        <f t="array" ref="Q16">OptionTheta($B$7,F16,$B$5,I16,0,G16,0)*$B$9</f>
        <v>-262.65480785297711</v>
      </c>
      <c r="R16" s="42" cm="1">
        <f t="array" ref="R16">vega(F16,$B$5,I16,0,G16,0)*$B$9</f>
        <v>504.18590949073672</v>
      </c>
      <c r="S16" s="54">
        <f t="shared" si="7"/>
        <v>3.4110400409628712</v>
      </c>
      <c r="T16" s="56">
        <f t="shared" si="8"/>
        <v>-193.12562423681265</v>
      </c>
      <c r="U16" s="55">
        <f t="shared" si="9"/>
        <v>1207.4463636879659</v>
      </c>
      <c r="V16" s="57">
        <f t="shared" si="10"/>
        <v>1017.7317794921162</v>
      </c>
      <c r="W16" s="28">
        <f t="shared" si="11"/>
        <v>10.550189079826623</v>
      </c>
    </row>
    <row r="17" spans="1:23" x14ac:dyDescent="0.15">
      <c r="C17" s="68">
        <f t="shared" ca="1" si="12"/>
        <v>101.32141738129278</v>
      </c>
      <c r="D17" s="69">
        <f t="shared" ca="1" si="0"/>
        <v>0.1713732056072334</v>
      </c>
      <c r="E17" s="26">
        <f t="shared" si="13"/>
        <v>14</v>
      </c>
      <c r="F17" s="29">
        <v>96.492638222785331</v>
      </c>
      <c r="G17" s="44">
        <v>0.17257806626578054</v>
      </c>
      <c r="H17" s="46">
        <f t="shared" si="2"/>
        <v>3.1156478013103506E-3</v>
      </c>
      <c r="I17" s="45">
        <f t="shared" si="3"/>
        <v>4.3835616438356158E-2</v>
      </c>
      <c r="J17" s="34" cm="1">
        <f t="array" ref="J17">optionPrice($B$7,F17,$B$5,I17,0,G17,0)*$B$9</f>
        <v>3024.3147379915845</v>
      </c>
      <c r="K17" s="37" cm="1">
        <f t="array" ref="K17">OptionDelta($B$7,F17,$B$5,I17,0,G17,0)*$B$9</f>
        <v>1660.0897757758194</v>
      </c>
      <c r="L17" s="38">
        <f t="shared" si="1"/>
        <v>-64.552273254422516</v>
      </c>
      <c r="M17" s="74">
        <f t="shared" si="4"/>
        <v>-478.18786463110132</v>
      </c>
      <c r="N17" s="74">
        <f t="shared" si="5"/>
        <v>-8.3175184337314931</v>
      </c>
      <c r="O17" s="74">
        <f t="shared" si="6"/>
        <v>-486.50538306483281</v>
      </c>
      <c r="P17" s="34" cm="1">
        <f t="array" ref="P17">OptionGamma(F17,$B$5,I17,0,G17,0)*F17^2/100*$B$9</f>
        <v>66552.922445758886</v>
      </c>
      <c r="Q17" s="34" cm="1">
        <f t="array" ref="Q17">OptionTheta($B$7,F17,$B$5,I17,0,G17,0)*$B$9</f>
        <v>-271.52852942170625</v>
      </c>
      <c r="R17" s="42" cm="1">
        <f t="array" ref="R17">vega(F17,$B$5,I17,0,G17,0)*$B$9</f>
        <v>503.47724537098208</v>
      </c>
      <c r="S17" s="54">
        <f t="shared" si="7"/>
        <v>29.663869413256478</v>
      </c>
      <c r="T17" s="56">
        <f t="shared" si="8"/>
        <v>-262.65480785297711</v>
      </c>
      <c r="U17" s="55">
        <f t="shared" si="9"/>
        <v>-229.12053716470254</v>
      </c>
      <c r="V17" s="57">
        <f t="shared" si="10"/>
        <v>-462.11147560442316</v>
      </c>
      <c r="W17" s="28">
        <f t="shared" si="11"/>
        <v>-24.39390746040965</v>
      </c>
    </row>
    <row r="18" spans="1:23" x14ac:dyDescent="0.15">
      <c r="C18" s="68">
        <f t="shared" ca="1" si="12"/>
        <v>102.36659576948216</v>
      </c>
      <c r="D18" s="69">
        <f t="shared" ca="1" si="0"/>
        <v>0.18979217901471673</v>
      </c>
      <c r="E18" s="26">
        <f t="shared" si="13"/>
        <v>15</v>
      </c>
      <c r="F18" s="29">
        <v>97.381068990912283</v>
      </c>
      <c r="G18" s="44">
        <v>0.16392363980779187</v>
      </c>
      <c r="H18" s="46">
        <f t="shared" si="2"/>
        <v>9.2072388577013609E-3</v>
      </c>
      <c r="I18" s="45">
        <f t="shared" si="3"/>
        <v>4.1095890410958902E-2</v>
      </c>
      <c r="J18" s="34" cm="1">
        <f t="array" ref="J18">optionPrice($B$7,F18,$B$5,I18,0,G18,0)*$B$9</f>
        <v>3951.2910954719159</v>
      </c>
      <c r="K18" s="37" cm="1">
        <f t="array" ref="K18">OptionDelta($B$7,F18,$B$5,I18,0,G18,0)*$B$9</f>
        <v>2171.0967604272701</v>
      </c>
      <c r="L18" s="38">
        <f t="shared" si="1"/>
        <v>-511.00698465145069</v>
      </c>
      <c r="M18" s="74">
        <f t="shared" si="4"/>
        <v>-1474.8748346522104</v>
      </c>
      <c r="N18" s="74">
        <f t="shared" si="5"/>
        <v>926.97635748033144</v>
      </c>
      <c r="O18" s="74">
        <f t="shared" si="6"/>
        <v>-547.89847717187899</v>
      </c>
      <c r="P18" s="34" cm="1">
        <f t="array" ref="P18">OptionGamma(F18,$B$5,I18,0,G18,0)*F18^2/100*$B$9</f>
        <v>86110.444192821087</v>
      </c>
      <c r="Q18" s="34" cm="1">
        <f t="array" ref="Q18">OptionTheta($B$7,F18,$B$5,I18,0,G18,0)*$B$9</f>
        <v>-316.96853076805945</v>
      </c>
      <c r="R18" s="42" cm="1">
        <f t="array" ref="R18">vega(F18,$B$5,I18,0,G18,0)*$B$9</f>
        <v>580.09057962546456</v>
      </c>
      <c r="S18" s="54">
        <f t="shared" si="7"/>
        <v>282.09536792701743</v>
      </c>
      <c r="T18" s="56">
        <f t="shared" si="8"/>
        <v>-271.52852942170625</v>
      </c>
      <c r="U18" s="55">
        <f t="shared" si="9"/>
        <v>-435.73067933338797</v>
      </c>
      <c r="V18" s="57">
        <f t="shared" si="10"/>
        <v>-425.16384082807679</v>
      </c>
      <c r="W18" s="28">
        <f t="shared" si="11"/>
        <v>-122.73463634380221</v>
      </c>
    </row>
    <row r="19" spans="1:23" x14ac:dyDescent="0.15">
      <c r="C19" s="68">
        <f t="shared" ca="1" si="12"/>
        <v>102.95440390222049</v>
      </c>
      <c r="D19" s="69">
        <f t="shared" ca="1" si="0"/>
        <v>0.19674017282869422</v>
      </c>
      <c r="E19" s="26">
        <f t="shared" si="13"/>
        <v>16</v>
      </c>
      <c r="F19" s="29">
        <v>97.378404205592872</v>
      </c>
      <c r="G19" s="44">
        <v>0.19305196829044163</v>
      </c>
      <c r="H19" s="46">
        <f t="shared" si="2"/>
        <v>-2.7364510854388513E-5</v>
      </c>
      <c r="I19" s="45">
        <f t="shared" si="3"/>
        <v>3.8356164383561639E-2</v>
      </c>
      <c r="J19" s="34" cm="1">
        <f t="array" ref="J19">optionPrice($B$7,F19,$B$5,I19,0,G19,0)*$B$9</f>
        <v>5306.5193199880414</v>
      </c>
      <c r="K19" s="37" cm="1">
        <f t="array" ref="K19">OptionDelta($B$7,F19,$B$5,I19,0,G19,0)*$B$9</f>
        <v>2470.7261556164926</v>
      </c>
      <c r="L19" s="38">
        <f t="shared" si="1"/>
        <v>-299.62939518922258</v>
      </c>
      <c r="M19" s="74">
        <f t="shared" si="4"/>
        <v>5.785506774206528</v>
      </c>
      <c r="N19" s="74">
        <f t="shared" si="5"/>
        <v>1355.2282245161255</v>
      </c>
      <c r="O19" s="74">
        <f t="shared" si="6"/>
        <v>1361.0137312903321</v>
      </c>
      <c r="P19" s="34" cm="1">
        <f t="array" ref="P19">OptionGamma(F19,$B$5,I19,0,G19,0)*F19^2/100*$B$9</f>
        <v>81333.084049815559</v>
      </c>
      <c r="Q19" s="34" cm="1">
        <f t="array" ref="Q19">OptionTheta($B$7,F19,$B$5,I19,0,G19,0)*$B$9</f>
        <v>-415.23394377851861</v>
      </c>
      <c r="R19" s="42" cm="1">
        <f t="array" ref="R19">vega(F19,$B$5,I19,0,G19,0)*$B$9</f>
        <v>602.24977392132462</v>
      </c>
      <c r="S19" s="54">
        <f t="shared" si="7"/>
        <v>3.2240458749330865E-3</v>
      </c>
      <c r="T19" s="56">
        <f t="shared" si="8"/>
        <v>-316.96853076805945</v>
      </c>
      <c r="U19" s="55">
        <f t="shared" si="9"/>
        <v>1689.7068953021228</v>
      </c>
      <c r="V19" s="57">
        <f t="shared" si="10"/>
        <v>1372.7415885799383</v>
      </c>
      <c r="W19" s="28">
        <f t="shared" si="11"/>
        <v>-11.727857289606163</v>
      </c>
    </row>
    <row r="20" spans="1:23" x14ac:dyDescent="0.15">
      <c r="B20" s="35"/>
      <c r="C20" s="68">
        <f t="shared" ca="1" si="12"/>
        <v>101.96580007888674</v>
      </c>
      <c r="D20" s="69">
        <f t="shared" ca="1" si="0"/>
        <v>0.19182491300498292</v>
      </c>
      <c r="E20" s="26">
        <f t="shared" si="13"/>
        <v>17</v>
      </c>
      <c r="F20" s="29">
        <v>97.902535783232267</v>
      </c>
      <c r="G20" s="44">
        <v>0.19775544127331918</v>
      </c>
      <c r="H20" s="46">
        <f t="shared" si="2"/>
        <v>5.3824211016315626E-3</v>
      </c>
      <c r="I20" s="45">
        <f t="shared" si="3"/>
        <v>3.5616438356164376E-2</v>
      </c>
      <c r="J20" s="34" cm="1">
        <f t="array" ref="J20">optionPrice($B$7,F20,$B$5,I20,0,G20,0)*$B$9</f>
        <v>6558.6614239436612</v>
      </c>
      <c r="K20" s="37" cm="1">
        <f t="array" ref="K20">OptionDelta($B$7,F20,$B$5,I20,0,G20,0)*$B$9</f>
        <v>2913.9188512022647</v>
      </c>
      <c r="L20" s="38">
        <f t="shared" si="1"/>
        <v>-443.19269558577207</v>
      </c>
      <c r="M20" s="74">
        <f t="shared" si="4"/>
        <v>-1294.9855978581888</v>
      </c>
      <c r="N20" s="74">
        <f t="shared" si="5"/>
        <v>1252.1421039556199</v>
      </c>
      <c r="O20" s="74">
        <f t="shared" si="6"/>
        <v>-42.84349390256898</v>
      </c>
      <c r="P20" s="34" cm="1">
        <f t="array" ref="P20">OptionGamma(F20,$B$5,I20,0,G20,0)*F20^2/100*$B$9</f>
        <v>89996.34621059132</v>
      </c>
      <c r="Q20" s="34" cm="1">
        <f t="array" ref="Q20">OptionTheta($B$7,F20,$B$5,I20,0,G20,0)*$B$9</f>
        <v>-482.12416715919579</v>
      </c>
      <c r="R20" s="42" cm="1">
        <f t="array" ref="R20">vega(F20,$B$5,I20,0,G20,0)*$B$9</f>
        <v>633.87526863617688</v>
      </c>
      <c r="S20" s="54">
        <f t="shared" si="7"/>
        <v>117.81283036263692</v>
      </c>
      <c r="T20" s="56">
        <f t="shared" si="8"/>
        <v>-415.23394377851861</v>
      </c>
      <c r="U20" s="55">
        <f t="shared" si="9"/>
        <v>283.26655405830587</v>
      </c>
      <c r="V20" s="57">
        <f t="shared" si="10"/>
        <v>-14.154559357575806</v>
      </c>
      <c r="W20" s="28">
        <f t="shared" si="11"/>
        <v>-28.688934544993174</v>
      </c>
    </row>
    <row r="21" spans="1:23" x14ac:dyDescent="0.15">
      <c r="A21" s="32" t="s">
        <v>42</v>
      </c>
      <c r="C21" s="68">
        <f t="shared" ca="1" si="12"/>
        <v>101.75073273262159</v>
      </c>
      <c r="D21" s="69">
        <f t="shared" ca="1" si="0"/>
        <v>0.19033200619641788</v>
      </c>
      <c r="E21" s="26">
        <f t="shared" si="13"/>
        <v>18</v>
      </c>
      <c r="F21" s="29">
        <v>96.782633446916762</v>
      </c>
      <c r="G21" s="44">
        <v>0.15474437500340843</v>
      </c>
      <c r="H21" s="46">
        <f t="shared" si="2"/>
        <v>-1.1438951272877196E-2</v>
      </c>
      <c r="I21" s="45">
        <f t="shared" si="3"/>
        <v>3.287671232876712E-2</v>
      </c>
      <c r="J21" s="34" cm="1">
        <f t="array" ref="J21">optionPrice($B$7,F21,$B$5,I21,0,G21,0)*$B$9</f>
        <v>1661.2073644355442</v>
      </c>
      <c r="K21" s="37" cm="1">
        <f t="array" ref="K21">OptionDelta($B$7,F21,$B$5,I21,0,G21,0)*$B$9</f>
        <v>1247.6313288939264</v>
      </c>
      <c r="L21" s="38">
        <f t="shared" si="1"/>
        <v>1666.2875223083383</v>
      </c>
      <c r="M21" s="74">
        <f t="shared" si="4"/>
        <v>3263.3045292952083</v>
      </c>
      <c r="N21" s="74">
        <f t="shared" si="5"/>
        <v>-4897.4540595081171</v>
      </c>
      <c r="O21" s="74">
        <f t="shared" si="6"/>
        <v>-1634.1495302129088</v>
      </c>
      <c r="P21" s="34" cm="1">
        <f t="array" ref="P21">OptionGamma(F21,$B$5,I21,0,G21,0)*F21^2/100*$B$9</f>
        <v>70912.233651194925</v>
      </c>
      <c r="Q21" s="34" cm="1">
        <f t="array" ref="Q21">OptionTheta($B$7,F21,$B$5,I21,0,G21,0)*$B$9</f>
        <v>-232.60982136004552</v>
      </c>
      <c r="R21" s="42" cm="1">
        <f t="array" ref="R21">vega(F21,$B$5,I21,0,G21,0)*$B$9</f>
        <v>360.7650173079395</v>
      </c>
      <c r="S21" s="54">
        <f t="shared" si="7"/>
        <v>588.7993231593972</v>
      </c>
      <c r="T21" s="56">
        <f t="shared" si="8"/>
        <v>-482.12416715919579</v>
      </c>
      <c r="U21" s="55">
        <f t="shared" si="9"/>
        <v>-2726.3651186168081</v>
      </c>
      <c r="V21" s="57">
        <f t="shared" si="10"/>
        <v>-2619.6899626166069</v>
      </c>
      <c r="W21" s="28">
        <f t="shared" si="11"/>
        <v>985.54043240369811</v>
      </c>
    </row>
    <row r="22" spans="1:23" x14ac:dyDescent="0.15">
      <c r="A22" s="34">
        <f>R3*(B10-B8)*100</f>
        <v>5717.0782687953351</v>
      </c>
      <c r="C22" s="68">
        <f t="shared" ca="1" si="12"/>
        <v>102.67762643667012</v>
      </c>
      <c r="D22" s="69">
        <f t="shared" ca="1" si="0"/>
        <v>0.17786337241861216</v>
      </c>
      <c r="E22" s="26">
        <f t="shared" si="13"/>
        <v>19</v>
      </c>
      <c r="F22" s="29">
        <v>96.234642620303177</v>
      </c>
      <c r="G22" s="44">
        <v>0.18723800443654592</v>
      </c>
      <c r="H22" s="46">
        <f t="shared" si="2"/>
        <v>-5.6620780722416164E-3</v>
      </c>
      <c r="I22" s="45">
        <f t="shared" si="3"/>
        <v>3.0136986301369857E-2</v>
      </c>
      <c r="J22" s="34" cm="1">
        <f t="array" ref="J22">optionPrice($B$7,F22,$B$5,I22,0,G22,0)*$B$9</f>
        <v>1860.4224038994132</v>
      </c>
      <c r="K22" s="37" cm="1">
        <f t="array" ref="K22">OptionDelta($B$7,F22,$B$5,I22,0,G22,0)*$B$9</f>
        <v>1221.045961169923</v>
      </c>
      <c r="L22" s="38">
        <f t="shared" si="1"/>
        <v>26.58536772400339</v>
      </c>
      <c r="M22" s="74">
        <f t="shared" si="4"/>
        <v>683.69052322958839</v>
      </c>
      <c r="N22" s="74">
        <f t="shared" si="5"/>
        <v>199.21503946386906</v>
      </c>
      <c r="O22" s="74">
        <f t="shared" si="6"/>
        <v>882.90556269345745</v>
      </c>
      <c r="P22" s="34" cm="1">
        <f t="array" ref="P22">OptionGamma(F22,$B$5,I22,0,G22,0)*F22^2/100*$B$9</f>
        <v>59953.915233694192</v>
      </c>
      <c r="Q22" s="34" cm="1">
        <f t="array" ref="Q22">OptionTheta($B$7,F22,$B$5,I22,0,G22,0)*$B$9</f>
        <v>-287.92720210214287</v>
      </c>
      <c r="R22" s="42" cm="1">
        <f t="array" ref="R22">vega(F22,$B$5,I22,0,G22,0)*$B$9</f>
        <v>338.30730386756716</v>
      </c>
      <c r="S22" s="54">
        <f t="shared" si="7"/>
        <v>113.66921911042193</v>
      </c>
      <c r="T22" s="56">
        <f t="shared" si="8"/>
        <v>-232.60982136004552</v>
      </c>
      <c r="U22" s="55">
        <f t="shared" si="9"/>
        <v>1172.2564784843619</v>
      </c>
      <c r="V22" s="57">
        <f t="shared" si="10"/>
        <v>1053.3158762347382</v>
      </c>
      <c r="W22" s="28">
        <f t="shared" si="11"/>
        <v>-170.41031354128074</v>
      </c>
    </row>
    <row r="23" spans="1:23" x14ac:dyDescent="0.15">
      <c r="C23" s="68">
        <f t="shared" ca="1" si="12"/>
        <v>103.82029486845968</v>
      </c>
      <c r="D23" s="69">
        <f t="shared" ca="1" si="0"/>
        <v>0.17803132644468667</v>
      </c>
      <c r="E23" s="26">
        <f t="shared" si="13"/>
        <v>20</v>
      </c>
      <c r="F23" s="29">
        <v>96.716496099072998</v>
      </c>
      <c r="G23" s="44">
        <v>0.18697453048720269</v>
      </c>
      <c r="H23" s="46">
        <f t="shared" si="2"/>
        <v>5.0070688231367289E-3</v>
      </c>
      <c r="I23" s="45">
        <f t="shared" si="3"/>
        <v>2.7397260273972601E-2</v>
      </c>
      <c r="J23" s="34" cm="1">
        <f t="array" ref="J23">optionPrice($B$7,F23,$B$5,I23,0,G23,0)*$B$9</f>
        <v>2177.4712432147148</v>
      </c>
      <c r="K23" s="37" cm="1">
        <f t="array" ref="K23">OptionDelta($B$7,F23,$B$5,I23,0,G23,0)*$B$9</f>
        <v>1438.2265265361</v>
      </c>
      <c r="L23" s="38">
        <f t="shared" si="1"/>
        <v>-217.18056536617701</v>
      </c>
      <c r="M23" s="74">
        <f t="shared" si="4"/>
        <v>-588.36524412756739</v>
      </c>
      <c r="N23" s="74">
        <f t="shared" si="5"/>
        <v>317.04883931530162</v>
      </c>
      <c r="O23" s="74">
        <f t="shared" si="6"/>
        <v>-271.31640481226577</v>
      </c>
      <c r="P23" s="34" cm="1">
        <f t="array" ref="P23">OptionGamma(F23,$B$5,I23,0,G23,0)*F23^2/100*$B$9</f>
        <v>70837.920358480871</v>
      </c>
      <c r="Q23" s="34" cm="1">
        <f t="array" ref="Q23">OptionTheta($B$7,F23,$B$5,I23,0,G23,0)*$B$9</f>
        <v>-339.24061773022657</v>
      </c>
      <c r="R23" s="42" cm="1">
        <f t="array" ref="R23">vega(F23,$B$5,I23,0,G23,0)*$B$9</f>
        <v>362.87361369087176</v>
      </c>
      <c r="S23" s="54">
        <f t="shared" si="7"/>
        <v>75.154445643331286</v>
      </c>
      <c r="T23" s="56">
        <f t="shared" si="8"/>
        <v>-287.92720210214287</v>
      </c>
      <c r="U23" s="55">
        <f t="shared" si="9"/>
        <v>-8.9135161441647828</v>
      </c>
      <c r="V23" s="57">
        <f t="shared" si="10"/>
        <v>-221.68627260297637</v>
      </c>
      <c r="W23" s="28">
        <f t="shared" si="11"/>
        <v>-49.6301322092894</v>
      </c>
    </row>
    <row r="24" spans="1:23" x14ac:dyDescent="0.15">
      <c r="C24" s="68">
        <f t="shared" ca="1" si="12"/>
        <v>102.11382189253482</v>
      </c>
      <c r="D24" s="69">
        <f t="shared" ca="1" si="0"/>
        <v>0.15938909863813105</v>
      </c>
      <c r="E24" s="26">
        <f t="shared" si="13"/>
        <v>21</v>
      </c>
      <c r="F24" s="29">
        <v>95.040046597100897</v>
      </c>
      <c r="G24" s="44">
        <v>0.19759183535958338</v>
      </c>
      <c r="H24" s="46">
        <f t="shared" si="2"/>
        <v>-1.7333645961024158E-2</v>
      </c>
      <c r="I24" s="45">
        <f t="shared" si="3"/>
        <v>2.4657534246575338E-2</v>
      </c>
      <c r="J24" s="34" cm="1">
        <f t="array" ref="J24">optionPrice($B$7,F24,$B$5,I24,0,G24,0)*$B$9</f>
        <v>639.92718126121952</v>
      </c>
      <c r="K24" s="37" cm="1">
        <f t="array" ref="K24">OptionDelta($B$7,F24,$B$5,I24,0,G24,0)*$B$9</f>
        <v>521.8041405079482</v>
      </c>
      <c r="L24" s="38">
        <f t="shared" si="1"/>
        <v>916.42238602815178</v>
      </c>
      <c r="M24" s="74">
        <f t="shared" si="4"/>
        <v>2411.1141441345098</v>
      </c>
      <c r="N24" s="74">
        <f t="shared" si="5"/>
        <v>-1537.5440619534952</v>
      </c>
      <c r="O24" s="74">
        <f t="shared" si="6"/>
        <v>873.57008218101464</v>
      </c>
      <c r="P24" s="34" cm="1">
        <f t="array" ref="P24">OptionGamma(F24,$B$5,I24,0,G24,0)*F24^2/100*$B$9</f>
        <v>32683.191411978383</v>
      </c>
      <c r="Q24" s="34" cm="1">
        <f t="array" ref="Q24">OptionTheta($B$7,F24,$B$5,I24,0,G24,0)*$B$9</f>
        <v>-174.79925922546343</v>
      </c>
      <c r="R24" s="42" cm="1">
        <f t="array" ref="R24">vega(F24,$B$5,I24,0,G24,0)*$B$9</f>
        <v>159.23667394112994</v>
      </c>
      <c r="S24" s="54">
        <f t="shared" si="7"/>
        <v>1064.1813679501552</v>
      </c>
      <c r="T24" s="56">
        <f t="shared" si="8"/>
        <v>-339.24061773022657</v>
      </c>
      <c r="U24" s="55">
        <f t="shared" si="9"/>
        <v>385.27397866984808</v>
      </c>
      <c r="V24" s="57">
        <f t="shared" si="10"/>
        <v>1110.2147288897766</v>
      </c>
      <c r="W24" s="28">
        <f t="shared" si="11"/>
        <v>-236.64464670876191</v>
      </c>
    </row>
    <row r="25" spans="1:23" x14ac:dyDescent="0.15">
      <c r="C25" s="68">
        <f t="shared" ca="1" si="12"/>
        <v>102.10174134427147</v>
      </c>
      <c r="D25" s="69">
        <f t="shared" ca="1" si="0"/>
        <v>0.15114675826076648</v>
      </c>
      <c r="E25" s="26">
        <f t="shared" si="13"/>
        <v>22</v>
      </c>
      <c r="F25" s="29">
        <v>96.219222488196323</v>
      </c>
      <c r="G25" s="44">
        <v>0.19634605770728061</v>
      </c>
      <c r="H25" s="46">
        <f t="shared" si="2"/>
        <v>1.240714765318085E-2</v>
      </c>
      <c r="I25" s="45">
        <f t="shared" si="3"/>
        <v>2.1917808219178075E-2</v>
      </c>
      <c r="J25" s="34" cm="1">
        <f t="array" ref="J25">optionPrice($B$7,F25,$B$5,I25,0,G25,0)*$B$9</f>
        <v>1228.2739145436317</v>
      </c>
      <c r="K25" s="37" cm="1">
        <f t="array" ref="K25">OptionDelta($B$7,F25,$B$5,I25,0,G25,0)*$B$9</f>
        <v>948.71327181786398</v>
      </c>
      <c r="L25" s="38">
        <f t="shared" si="1"/>
        <v>-426.90913130991578</v>
      </c>
      <c r="M25" s="74">
        <f t="shared" si="4"/>
        <v>-615.29886236074253</v>
      </c>
      <c r="N25" s="74">
        <f t="shared" si="5"/>
        <v>588.34673328241217</v>
      </c>
      <c r="O25" s="74">
        <f t="shared" si="6"/>
        <v>-26.952129078330358</v>
      </c>
      <c r="P25" s="34" cm="1">
        <f t="array" ref="P25">OptionGamma(F25,$B$5,I25,0,G25,0)*F25^2/100*$B$9</f>
        <v>55890.961802548409</v>
      </c>
      <c r="Q25" s="34" cm="1">
        <f t="array" ref="Q25">OptionTheta($B$7,F25,$B$5,I25,0,G25,0)*$B$9</f>
        <v>-295.16380125151147</v>
      </c>
      <c r="R25" s="42" cm="1">
        <f t="array" ref="R25">vega(F25,$B$5,I25,0,G25,0)*$B$9</f>
        <v>240.52537011284565</v>
      </c>
      <c r="S25" s="54">
        <f t="shared" si="7"/>
        <v>251.55813312792952</v>
      </c>
      <c r="T25" s="56">
        <f t="shared" si="8"/>
        <v>-174.79925922546343</v>
      </c>
      <c r="U25" s="55">
        <f t="shared" si="9"/>
        <v>-19.837348982288265</v>
      </c>
      <c r="V25" s="57">
        <f t="shared" si="10"/>
        <v>56.921524920177831</v>
      </c>
      <c r="W25" s="28">
        <f t="shared" si="11"/>
        <v>-83.873653998508189</v>
      </c>
    </row>
    <row r="26" spans="1:23" x14ac:dyDescent="0.15">
      <c r="C26" s="68">
        <f t="shared" ca="1" si="12"/>
        <v>100.59434785894389</v>
      </c>
      <c r="D26" s="69">
        <f t="shared" ca="1" si="0"/>
        <v>0.17565419297765755</v>
      </c>
      <c r="E26" s="26">
        <f t="shared" si="13"/>
        <v>23</v>
      </c>
      <c r="F26" s="29">
        <v>97.447812982082326</v>
      </c>
      <c r="G26" s="44">
        <v>0.15864745126314728</v>
      </c>
      <c r="H26" s="46">
        <f t="shared" si="2"/>
        <v>1.2768659547594208E-2</v>
      </c>
      <c r="I26" s="45">
        <f t="shared" si="3"/>
        <v>1.9178082191780813E-2</v>
      </c>
      <c r="J26" s="34" cm="1">
        <f t="array" ref="J26">optionPrice($B$7,F26,$B$5,I26,0,G26,0)*$B$9</f>
        <v>1275.9162518381295</v>
      </c>
      <c r="K26" s="37" cm="1">
        <f t="array" ref="K26">OptionDelta($B$7,F26,$B$5,I26,0,G26,0)*$B$9</f>
        <v>1218.5780119296696</v>
      </c>
      <c r="L26" s="38">
        <f t="shared" si="1"/>
        <v>-269.86474011180565</v>
      </c>
      <c r="M26" s="74">
        <f t="shared" si="4"/>
        <v>-1165.5801071789151</v>
      </c>
      <c r="N26" s="74">
        <f t="shared" si="5"/>
        <v>47.642337294497793</v>
      </c>
      <c r="O26" s="74">
        <f t="shared" si="6"/>
        <v>-1117.9377698844173</v>
      </c>
      <c r="P26" s="34" cm="1">
        <f t="array" ref="P26">OptionGamma(F26,$B$5,I26,0,G26,0)*F26^2/100*$B$9</f>
        <v>89691.090584957536</v>
      </c>
      <c r="Q26" s="34" cm="1">
        <f t="array" ref="Q26">OptionTheta($B$7,F26,$B$5,I26,0,G26,0)*$B$9</f>
        <v>-309.23784876418762</v>
      </c>
      <c r="R26" s="42" cm="1">
        <f t="array" ref="R26">vega(F26,$B$5,I26,0,G26,0)*$B$9</f>
        <v>272.88997385262741</v>
      </c>
      <c r="S26" s="54">
        <f t="shared" si="7"/>
        <v>455.61939448235273</v>
      </c>
      <c r="T26" s="56">
        <f t="shared" si="8"/>
        <v>-295.16380125151147</v>
      </c>
      <c r="U26" s="55">
        <f t="shared" si="9"/>
        <v>-906.74712677136779</v>
      </c>
      <c r="V26" s="57">
        <f t="shared" si="10"/>
        <v>-746.29153354052653</v>
      </c>
      <c r="W26" s="28">
        <f t="shared" si="11"/>
        <v>-371.64623634389079</v>
      </c>
    </row>
    <row r="27" spans="1:23" x14ac:dyDescent="0.15">
      <c r="C27" s="68">
        <f t="shared" ca="1" si="12"/>
        <v>99.032927899381534</v>
      </c>
      <c r="D27" s="69">
        <f t="shared" ca="1" si="0"/>
        <v>0.1713776352379518</v>
      </c>
      <c r="E27" s="26">
        <f t="shared" si="13"/>
        <v>24</v>
      </c>
      <c r="F27" s="29">
        <v>96.672722844062491</v>
      </c>
      <c r="G27" s="44">
        <v>0.19994048887114929</v>
      </c>
      <c r="H27" s="46">
        <f t="shared" si="2"/>
        <v>-7.9538997777440779E-3</v>
      </c>
      <c r="I27" s="45">
        <f t="shared" si="3"/>
        <v>1.6438356164383564E-2</v>
      </c>
      <c r="J27" s="34" cm="1">
        <f t="array" ref="J27">optionPrice($B$7,F27,$B$5,I27,0,G27,0)*$B$9</f>
        <v>1099.4279091634419</v>
      </c>
      <c r="K27" s="37" cm="1">
        <f t="array" ref="K27">OptionDelta($B$7,F27,$B$5,I27,0,G27,0)*$B$9</f>
        <v>955.68949049096796</v>
      </c>
      <c r="L27" s="38">
        <f t="shared" si="1"/>
        <v>262.88852143870167</v>
      </c>
      <c r="M27" s="74">
        <f t="shared" si="4"/>
        <v>944.5077994545029</v>
      </c>
      <c r="N27" s="74">
        <f t="shared" si="5"/>
        <v>-176.4883426746876</v>
      </c>
      <c r="O27" s="74">
        <f t="shared" si="6"/>
        <v>768.0194567798153</v>
      </c>
      <c r="P27" s="34" cm="1">
        <f t="array" ref="P27">OptionGamma(F27,$B$5,I27,0,G27,0)*F27^2/100*$B$9</f>
        <v>64020.262531425404</v>
      </c>
      <c r="Q27" s="34" cm="1">
        <f t="array" ref="Q27">OptionTheta($B$7,F27,$B$5,I27,0,G27,0)*$B$9</f>
        <v>-350.5872275003448</v>
      </c>
      <c r="R27" s="42" cm="1">
        <f t="array" ref="R27">vega(F27,$B$5,I27,0,G27,0)*$B$9</f>
        <v>210.41494665521944</v>
      </c>
      <c r="S27" s="54">
        <f t="shared" si="7"/>
        <v>283.71319721561889</v>
      </c>
      <c r="T27" s="56">
        <f t="shared" si="8"/>
        <v>-309.23784876418762</v>
      </c>
      <c r="U27" s="55">
        <f t="shared" si="9"/>
        <v>1126.845595314323</v>
      </c>
      <c r="V27" s="57">
        <f t="shared" si="10"/>
        <v>1101.3209437657542</v>
      </c>
      <c r="W27" s="28">
        <f t="shared" si="11"/>
        <v>-333.30148698593894</v>
      </c>
    </row>
    <row r="28" spans="1:23" x14ac:dyDescent="0.15">
      <c r="C28" s="68">
        <f t="shared" ca="1" si="12"/>
        <v>99.025950407753214</v>
      </c>
      <c r="D28" s="69">
        <f t="shared" ca="1" si="0"/>
        <v>0.15490472582056847</v>
      </c>
      <c r="E28" s="26">
        <f t="shared" si="13"/>
        <v>25</v>
      </c>
      <c r="F28" s="29">
        <v>96.343517103159911</v>
      </c>
      <c r="G28" s="44">
        <v>0.19247749996609942</v>
      </c>
      <c r="H28" s="46">
        <f t="shared" si="2"/>
        <v>-3.4053632836390513E-3</v>
      </c>
      <c r="I28" s="45">
        <f t="shared" si="3"/>
        <v>1.3698630136986301E-2</v>
      </c>
      <c r="J28" s="34" cm="1">
        <f t="array" ref="J28">optionPrice($B$7,F28,$B$5,I28,0,G28,0)*$B$9</f>
        <v>452.47257527977422</v>
      </c>
      <c r="K28" s="37" cm="1">
        <f t="array" ref="K28">OptionDelta($B$7,F28,$B$5,I28,0,G28,0)*$B$9</f>
        <v>502.68785972398041</v>
      </c>
      <c r="L28" s="38">
        <f t="shared" si="1"/>
        <v>453.00163076698755</v>
      </c>
      <c r="M28" s="74">
        <f t="shared" si="4"/>
        <v>314.61846678988843</v>
      </c>
      <c r="N28" s="74">
        <f t="shared" si="5"/>
        <v>-646.95533388366766</v>
      </c>
      <c r="O28" s="74">
        <f t="shared" si="6"/>
        <v>-332.33686709377923</v>
      </c>
      <c r="P28" s="34" cm="1">
        <f t="array" ref="P28">OptionGamma(F28,$B$5,I28,0,G28,0)*F28^2/100*$B$9</f>
        <v>44296.455902716218</v>
      </c>
      <c r="Q28" s="34" cm="1">
        <f t="array" ref="Q28">OptionTheta($B$7,F28,$B$5,I28,0,G28,0)*$B$9</f>
        <v>-224.8050476496951</v>
      </c>
      <c r="R28" s="42" cm="1">
        <f t="array" ref="R28">vega(F28,$B$5,I28,0,G28,0)*$B$9</f>
        <v>116.79549437689568</v>
      </c>
      <c r="S28" s="54">
        <f t="shared" si="7"/>
        <v>37.120545820747601</v>
      </c>
      <c r="T28" s="56">
        <f t="shared" si="8"/>
        <v>-350.5872275003448</v>
      </c>
      <c r="U28" s="55">
        <f t="shared" si="9"/>
        <v>-157.03244123445634</v>
      </c>
      <c r="V28" s="57">
        <f t="shared" si="10"/>
        <v>-470.49912291405349</v>
      </c>
      <c r="W28" s="28">
        <f t="shared" si="11"/>
        <v>138.16225582027425</v>
      </c>
    </row>
    <row r="29" spans="1:23" x14ac:dyDescent="0.15">
      <c r="C29" s="68">
        <f t="shared" ca="1" si="12"/>
        <v>99.833055362839431</v>
      </c>
      <c r="D29" s="69">
        <f t="shared" ca="1" si="0"/>
        <v>0.15440704829241478</v>
      </c>
      <c r="E29" s="26">
        <f t="shared" si="13"/>
        <v>26</v>
      </c>
      <c r="F29" s="29">
        <v>95.239635000929468</v>
      </c>
      <c r="G29" s="44">
        <v>0.18846292834779577</v>
      </c>
      <c r="H29" s="46">
        <f t="shared" si="2"/>
        <v>-1.1457772514661846E-2</v>
      </c>
      <c r="I29" s="45">
        <f t="shared" si="3"/>
        <v>1.0958904109589038E-2</v>
      </c>
      <c r="J29" s="34" cm="1">
        <f t="array" ref="J29">optionPrice($B$7,F29,$B$5,I29,0,G29,0)*$B$9</f>
        <v>42.046477889655655</v>
      </c>
      <c r="K29" s="37" cm="1">
        <f t="array" ref="K29">OptionDelta($B$7,F29,$B$5,I29,0,G29,0)*$B$9</f>
        <v>69.022967449837878</v>
      </c>
      <c r="L29" s="38">
        <f t="shared" si="1"/>
        <v>433.66489227414252</v>
      </c>
      <c r="M29" s="74">
        <f t="shared" si="4"/>
        <v>554.90813135782969</v>
      </c>
      <c r="N29" s="74">
        <f t="shared" si="5"/>
        <v>-410.42609739011857</v>
      </c>
      <c r="O29" s="74">
        <f t="shared" si="6"/>
        <v>144.48203396771112</v>
      </c>
      <c r="P29" s="34" cm="1">
        <f t="array" ref="P29">OptionGamma(F29,$B$5,I29,0,G29,0)*F29^2/100*$B$9</f>
        <v>9291.0062059626271</v>
      </c>
      <c r="Q29" s="34" cm="1">
        <f t="array" ref="Q29">OptionTheta($B$7,F29,$B$5,I29,0,G29,0)*$B$9</f>
        <v>-45.205550247685231</v>
      </c>
      <c r="R29" s="42" cm="1">
        <f t="array" ref="R29">vega(F29,$B$5,I29,0,G29,0)*$B$9</f>
        <v>19.189153280802849</v>
      </c>
      <c r="S29" s="54">
        <f t="shared" si="7"/>
        <v>290.76315690778483</v>
      </c>
      <c r="T29" s="56">
        <f t="shared" si="8"/>
        <v>-224.8050476496951</v>
      </c>
      <c r="U29" s="55">
        <f t="shared" si="9"/>
        <v>-46.888387687122922</v>
      </c>
      <c r="V29" s="57">
        <f t="shared" si="10"/>
        <v>19.069721570966813</v>
      </c>
      <c r="W29" s="28">
        <f t="shared" si="11"/>
        <v>125.41231239674431</v>
      </c>
    </row>
    <row r="30" spans="1:23" x14ac:dyDescent="0.15">
      <c r="C30" s="68">
        <f t="shared" ca="1" si="12"/>
        <v>101.58756645304123</v>
      </c>
      <c r="D30" s="69">
        <f t="shared" ca="1" si="0"/>
        <v>0.16393886719555417</v>
      </c>
      <c r="E30" s="26">
        <f t="shared" si="13"/>
        <v>27</v>
      </c>
      <c r="F30" s="29">
        <v>95.577610615526126</v>
      </c>
      <c r="G30" s="44">
        <v>0.17442490859946438</v>
      </c>
      <c r="H30" s="46">
        <f t="shared" si="2"/>
        <v>3.5486865798399769E-3</v>
      </c>
      <c r="I30" s="45">
        <f t="shared" si="3"/>
        <v>8.2191780821917748E-3</v>
      </c>
      <c r="J30" s="34" cm="1">
        <f t="array" ref="J30">optionPrice($B$7,F30,$B$5,I30,0,G30,0)*$B$9</f>
        <v>9.592734419382742</v>
      </c>
      <c r="K30" s="37" cm="1">
        <f t="array" ref="K30">OptionDelta($B$7,F30,$B$5,I30,0,G30,0)*$B$9</f>
        <v>21.692274259884243</v>
      </c>
      <c r="L30" s="38">
        <f t="shared" si="1"/>
        <v>47.330693189953635</v>
      </c>
      <c r="M30" s="74">
        <f t="shared" si="4"/>
        <v>-23.328079845144089</v>
      </c>
      <c r="N30" s="74">
        <f t="shared" si="5"/>
        <v>-32.453743470272912</v>
      </c>
      <c r="O30" s="74">
        <f t="shared" si="6"/>
        <v>-55.781823315417</v>
      </c>
      <c r="P30" s="34" cm="1">
        <f t="array" ref="P30">OptionGamma(F30,$B$5,I30,0,G30,0)*F30^2/100*$B$9</f>
        <v>4125.148433876444</v>
      </c>
      <c r="Q30" s="34" cm="1">
        <f t="array" ref="Q30">OptionTheta($B$7,F30,$B$5,I30,0,G30,0)*$B$9</f>
        <v>-17.192290001603979</v>
      </c>
      <c r="R30" s="42" cm="1">
        <f t="array" ref="R30">vega(F30,$B$5,I30,0,G30,0)*$B$9</f>
        <v>5.9139340153818232</v>
      </c>
      <c r="S30" s="54">
        <f t="shared" si="7"/>
        <v>5.8501640237406507</v>
      </c>
      <c r="T30" s="56">
        <f t="shared" si="8"/>
        <v>-45.205550247685231</v>
      </c>
      <c r="U30" s="55">
        <f t="shared" si="9"/>
        <v>-26.937771270966831</v>
      </c>
      <c r="V30" s="57">
        <f t="shared" si="10"/>
        <v>-66.293157494911412</v>
      </c>
      <c r="W30" s="28">
        <f t="shared" si="11"/>
        <v>10.511334179494412</v>
      </c>
    </row>
    <row r="31" spans="1:23" x14ac:dyDescent="0.15">
      <c r="C31" s="68">
        <f t="shared" ca="1" si="12"/>
        <v>103.18167616812083</v>
      </c>
      <c r="D31" s="69">
        <f t="shared" ca="1" si="0"/>
        <v>0.15156333792594709</v>
      </c>
      <c r="E31" s="26">
        <f t="shared" si="13"/>
        <v>28</v>
      </c>
      <c r="F31" s="29">
        <v>96.053170914231217</v>
      </c>
      <c r="G31" s="44">
        <v>0.18442131441961301</v>
      </c>
      <c r="H31" s="46">
        <f t="shared" si="2"/>
        <v>4.9756454010772E-3</v>
      </c>
      <c r="I31" s="45">
        <f t="shared" si="3"/>
        <v>5.4794520547945119E-3</v>
      </c>
      <c r="J31" s="34" cm="1">
        <f t="array" ref="J31">optionPrice($B$7,F31,$B$5,I31,0,G31,0)*$B$9</f>
        <v>6.0994218637372422</v>
      </c>
      <c r="K31" s="37" cm="1">
        <f t="array" ref="K31">OptionDelta($B$7,F31,$B$5,I31,0,G31,0)*$B$9</f>
        <v>16.257026602066251</v>
      </c>
      <c r="L31" s="38">
        <f t="shared" si="1"/>
        <v>5.4352476578179925</v>
      </c>
      <c r="M31" s="74">
        <f t="shared" si="4"/>
        <v>-10.315984426623301</v>
      </c>
      <c r="N31" s="74">
        <f t="shared" si="5"/>
        <v>-3.4933125556454998</v>
      </c>
      <c r="O31" s="74">
        <f t="shared" si="6"/>
        <v>-13.809296982268801</v>
      </c>
      <c r="P31" s="34" cm="1">
        <f t="array" ref="P31">OptionGamma(F31,$B$5,I31,0,G31,0)*F31^2/100*$B$9</f>
        <v>3694.7740508826173</v>
      </c>
      <c r="Q31" s="34" cm="1">
        <f t="array" ref="Q31">OptionTheta($B$7,F31,$B$5,I31,0,G31,0)*$B$9</f>
        <v>-17.214216106010738</v>
      </c>
      <c r="R31" s="42" cm="1">
        <f t="array" ref="R31">vega(F31,$B$5,I31,0,G31,0)*$B$9</f>
        <v>3.7336717092999971</v>
      </c>
      <c r="S31" s="54">
        <f t="shared" si="7"/>
        <v>5.1063247154089613</v>
      </c>
      <c r="T31" s="56">
        <f t="shared" si="8"/>
        <v>-17.192290001603979</v>
      </c>
      <c r="U31" s="55">
        <f t="shared" si="9"/>
        <v>5.9118084411337808</v>
      </c>
      <c r="V31" s="57">
        <f t="shared" si="10"/>
        <v>-6.174156845061237</v>
      </c>
      <c r="W31" s="28">
        <f t="shared" si="11"/>
        <v>-7.6351401372075642</v>
      </c>
    </row>
    <row r="32" spans="1:23" x14ac:dyDescent="0.15">
      <c r="C32" s="68">
        <f t="shared" ca="1" si="12"/>
        <v>103.08969513940616</v>
      </c>
      <c r="D32" s="69">
        <f t="shared" ca="1" si="0"/>
        <v>0.18216681869901463</v>
      </c>
      <c r="E32" s="26">
        <f t="shared" si="13"/>
        <v>29</v>
      </c>
      <c r="F32" s="29">
        <v>95.76052451215503</v>
      </c>
      <c r="G32" s="44">
        <v>0.1527986070715478</v>
      </c>
      <c r="H32" s="46">
        <f t="shared" si="2"/>
        <v>-3.0467125581673526E-3</v>
      </c>
      <c r="I32" s="45">
        <f t="shared" si="3"/>
        <v>2.739726027397249E-3</v>
      </c>
      <c r="J32" s="34" cm="1">
        <f t="array" ref="J32">optionPrice($B$7,F32,$B$5,I32,0,G32,0)*$B$9</f>
        <v>4.1347742926081977E-5</v>
      </c>
      <c r="K32" s="37" cm="1">
        <f t="array" ref="K32">OptionDelta($B$7,F32,$B$5,I32,0,G32,0)*$B$9</f>
        <v>3.1089960902461709E-4</v>
      </c>
      <c r="L32" s="38">
        <f t="shared" si="1"/>
        <v>16.256715702457225</v>
      </c>
      <c r="M32" s="74">
        <f t="shared" ref="M32:M33" si="14">-K31*(F32-F31)</f>
        <v>4.7575603435515479</v>
      </c>
      <c r="N32" s="74">
        <f t="shared" ref="N32:N33" si="15">J32-J31</f>
        <v>-6.0993805159943157</v>
      </c>
      <c r="O32" s="74">
        <f t="shared" ref="O32:O33" si="16">M32+N32</f>
        <v>-1.3418201724427679</v>
      </c>
      <c r="P32" s="34" cm="1">
        <f t="array" ref="P32">OptionGamma(F32,$B$5,I32,0,G32,0)*F32^2/100*$B$9</f>
        <v>0.20794956225874256</v>
      </c>
      <c r="Q32" s="34" cm="1">
        <f t="array" ref="Q32">OptionTheta($B$7,F32,$B$5,I32,0,G32,0)*$B$9</f>
        <v>-6.6508008059485476E-4</v>
      </c>
      <c r="R32" s="42" cm="1">
        <f t="array" ref="R32">vega(F32,$B$5,I32,0,G32,0)*$B$9</f>
        <v>8.7053160148695461E-5</v>
      </c>
      <c r="S32" s="54">
        <f t="shared" si="7"/>
        <v>1.7148291387315173</v>
      </c>
      <c r="T32" s="56">
        <f t="shared" si="8"/>
        <v>-17.214216106010738</v>
      </c>
      <c r="U32" s="55">
        <f t="shared" si="9"/>
        <v>-11.806880779694422</v>
      </c>
      <c r="V32" s="57">
        <f t="shared" si="10"/>
        <v>-27.306267746973646</v>
      </c>
      <c r="W32" s="28">
        <f t="shared" si="11"/>
        <v>25.96444757453088</v>
      </c>
    </row>
    <row r="33" spans="3:23" x14ac:dyDescent="0.15">
      <c r="C33" s="68">
        <f t="shared" ca="1" si="12"/>
        <v>102.67862256009639</v>
      </c>
      <c r="D33" s="69">
        <f t="shared" ca="1" si="0"/>
        <v>0.15402234753163058</v>
      </c>
      <c r="E33" s="26">
        <f t="shared" si="13"/>
        <v>30</v>
      </c>
      <c r="F33" s="29">
        <v>93.918767513472929</v>
      </c>
      <c r="G33" s="44">
        <v>0.18744367847230117</v>
      </c>
      <c r="H33" s="46">
        <f t="shared" si="2"/>
        <v>-1.9232946018881925E-2</v>
      </c>
      <c r="I33" s="45">
        <f t="shared" si="3"/>
        <v>0</v>
      </c>
      <c r="J33" s="34">
        <f>MAX(F33-$B$5,0)*$B$9</f>
        <v>0</v>
      </c>
      <c r="K33" s="37"/>
      <c r="M33" s="74">
        <f t="shared" si="14"/>
        <v>5.7260153080861739E-4</v>
      </c>
      <c r="N33" s="74">
        <f t="shared" si="15"/>
        <v>-4.1347742926081977E-5</v>
      </c>
      <c r="O33" s="74">
        <f t="shared" si="16"/>
        <v>5.3125378788253545E-4</v>
      </c>
      <c r="S33" s="54">
        <f t="shared" ref="S33" si="17">0.5*P32*H33^2*100</f>
        <v>3.8460917489864074E-3</v>
      </c>
      <c r="T33" s="56">
        <f t="shared" ref="T33" si="18">Q32</f>
        <v>-6.6508008059485476E-4</v>
      </c>
      <c r="U33" s="55">
        <f t="shared" ref="U33" si="19">R32*(G33-G32)*100</f>
        <v>3.0159629490127728E-4</v>
      </c>
      <c r="V33" s="57">
        <f t="shared" ref="V33" si="20">SUM(S33:U33)</f>
        <v>3.48260796329283E-3</v>
      </c>
      <c r="W33" s="28">
        <f t="shared" si="11"/>
        <v>-2.9513541754102946E-3</v>
      </c>
    </row>
    <row r="34" spans="3:23" s="60" customFormat="1" x14ac:dyDescent="0.15">
      <c r="C34" s="59" t="s">
        <v>36</v>
      </c>
      <c r="I34" s="61"/>
      <c r="K34" s="61"/>
      <c r="L34" s="59"/>
      <c r="M34" s="75">
        <f>SUM(M4:M33)</f>
        <v>19678.601637805186</v>
      </c>
      <c r="N34" s="75">
        <f>SUM(N4:N33)</f>
        <v>-18764.797605193879</v>
      </c>
      <c r="O34" s="75">
        <f>SUM(O4:O33)</f>
        <v>913.80403261131039</v>
      </c>
      <c r="P34" s="61"/>
      <c r="Q34" s="61"/>
      <c r="R34" s="61"/>
      <c r="S34" s="62">
        <f>SUM(S4:S33)</f>
        <v>7584.2567100019805</v>
      </c>
      <c r="T34" s="62">
        <f>SUM(T4:T33)</f>
        <v>-8126.9311296934002</v>
      </c>
      <c r="U34" s="62">
        <f>SUM(U4:U33)</f>
        <v>1498.8703732592289</v>
      </c>
      <c r="V34" s="62">
        <f>SUM(V4:V33)</f>
        <v>956.1959535678061</v>
      </c>
      <c r="W34" s="63">
        <f>SUM(W4:W33)</f>
        <v>-42.391920956496037</v>
      </c>
    </row>
    <row r="35" spans="3:23" x14ac:dyDescent="0.15">
      <c r="C35" s="36"/>
      <c r="E35" s="33"/>
      <c r="M35" s="72"/>
      <c r="N35" s="73"/>
      <c r="O35" s="73"/>
    </row>
    <row r="36" spans="3:23" x14ac:dyDescent="0.15">
      <c r="C36" s="36"/>
    </row>
    <row r="37" spans="3:23" x14ac:dyDescent="0.15">
      <c r="C37" s="36"/>
      <c r="P37" s="53"/>
    </row>
  </sheetData>
  <mergeCells count="2">
    <mergeCell ref="S1:V1"/>
    <mergeCell ref="P1:R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py">
                <anchor moveWithCells="1" sizeWithCells="1">
                  <from>
                    <xdr:col>0</xdr:col>
                    <xdr:colOff>254000</xdr:colOff>
                    <xdr:row>16</xdr:row>
                    <xdr:rowOff>88900</xdr:rowOff>
                  </from>
                  <to>
                    <xdr:col>1</xdr:col>
                    <xdr:colOff>215900</xdr:colOff>
                    <xdr:row>19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99760-58C6-48F3-89AF-112E6544BAD2}">
  <sheetPr codeName="Sheet2"/>
  <dimension ref="A1:W37"/>
  <sheetViews>
    <sheetView showGridLines="0" zoomScale="85" zoomScaleNormal="85" workbookViewId="0">
      <selection activeCell="B4" sqref="B4:R34"/>
    </sheetView>
  </sheetViews>
  <sheetFormatPr baseColWidth="10" defaultColWidth="8.83203125" defaultRowHeight="13" x14ac:dyDescent="0.15"/>
  <cols>
    <col min="1" max="1" width="15.83203125" customWidth="1"/>
    <col min="2" max="2" width="12" customWidth="1"/>
    <col min="3" max="3" width="9.83203125" bestFit="1" customWidth="1"/>
    <col min="4" max="4" width="6.33203125" customWidth="1"/>
    <col min="5" max="5" width="5.1640625" bestFit="1" customWidth="1"/>
    <col min="6" max="6" width="7.33203125" bestFit="1" customWidth="1"/>
    <col min="7" max="7" width="4.6640625" bestFit="1" customWidth="1"/>
    <col min="8" max="8" width="9.1640625" customWidth="1"/>
    <col min="9" max="9" width="8.83203125" style="26"/>
    <col min="10" max="10" width="11" customWidth="1"/>
    <col min="11" max="11" width="13.83203125" style="26" customWidth="1"/>
    <col min="12" max="12" width="20.1640625" style="24" bestFit="1" customWidth="1"/>
    <col min="13" max="13" width="14.5" customWidth="1"/>
    <col min="14" max="14" width="10.1640625" style="26" bestFit="1" customWidth="1"/>
    <col min="15" max="15" width="8.83203125" style="26" bestFit="1" customWidth="1"/>
    <col min="16" max="16" width="12.5" style="26" customWidth="1"/>
    <col min="17" max="18" width="8.83203125" style="26"/>
    <col min="19" max="19" width="7.33203125" bestFit="1" customWidth="1"/>
    <col min="20" max="20" width="9.33203125" customWidth="1"/>
    <col min="21" max="21" width="10.1640625" style="24" customWidth="1"/>
    <col min="22" max="22" width="10.1640625" customWidth="1"/>
    <col min="23" max="23" width="9" customWidth="1"/>
  </cols>
  <sheetData>
    <row r="1" spans="1:23" x14ac:dyDescent="0.15">
      <c r="A1" s="31" t="s">
        <v>32</v>
      </c>
      <c r="P1" s="79" t="s">
        <v>37</v>
      </c>
      <c r="Q1" s="80"/>
      <c r="R1" s="81"/>
      <c r="S1" s="76" t="s">
        <v>38</v>
      </c>
      <c r="T1" s="77"/>
      <c r="U1" s="77"/>
      <c r="V1" s="78"/>
    </row>
    <row r="2" spans="1:23" ht="16" thickBot="1" x14ac:dyDescent="0.25">
      <c r="C2" s="32" t="s">
        <v>19</v>
      </c>
      <c r="D2" s="30" t="s">
        <v>27</v>
      </c>
      <c r="E2" s="25" t="s">
        <v>18</v>
      </c>
      <c r="F2" s="24" t="s">
        <v>19</v>
      </c>
      <c r="G2" s="30" t="s">
        <v>27</v>
      </c>
      <c r="H2" s="30" t="s">
        <v>34</v>
      </c>
      <c r="I2" s="32" t="s">
        <v>20</v>
      </c>
      <c r="J2" s="31" t="s">
        <v>22</v>
      </c>
      <c r="K2" s="26" t="s">
        <v>23</v>
      </c>
      <c r="L2" s="30" t="s">
        <v>39</v>
      </c>
      <c r="M2" s="31" t="s">
        <v>40</v>
      </c>
      <c r="N2" s="32" t="s">
        <v>31</v>
      </c>
      <c r="O2" s="32" t="s">
        <v>33</v>
      </c>
      <c r="P2" s="32" t="s">
        <v>35</v>
      </c>
      <c r="Q2" s="26" t="s">
        <v>4</v>
      </c>
      <c r="R2" s="32" t="s">
        <v>3</v>
      </c>
      <c r="S2" s="47" t="s">
        <v>2</v>
      </c>
      <c r="T2" s="48" t="s">
        <v>4</v>
      </c>
      <c r="U2" s="48" t="s">
        <v>3</v>
      </c>
      <c r="V2" s="49" t="s">
        <v>36</v>
      </c>
      <c r="W2" s="67" t="s">
        <v>41</v>
      </c>
    </row>
    <row r="3" spans="1:23" ht="15" x14ac:dyDescent="0.2">
      <c r="A3" s="18" t="s">
        <v>26</v>
      </c>
      <c r="B3" s="5"/>
      <c r="C3" s="43">
        <f>B4</f>
        <v>100</v>
      </c>
      <c r="D3" s="41">
        <f ca="1">$B$13+RAND()*($B$14-$B$13)</f>
        <v>0.20886119878867049</v>
      </c>
      <c r="E3" s="26">
        <v>0</v>
      </c>
      <c r="F3" s="26">
        <v>100</v>
      </c>
      <c r="G3" s="44">
        <v>0.12085187098084252</v>
      </c>
      <c r="H3" s="44"/>
      <c r="I3" s="45">
        <f>$B$6-E3/365</f>
        <v>8.2191780821917804E-2</v>
      </c>
      <c r="J3" s="34" cm="1">
        <f t="array" ref="J3">optionPrice($B$7,F3,$B$5,I3,0,G3,0)*$B$9</f>
        <v>13821.523526810679</v>
      </c>
      <c r="K3" s="37" cm="1">
        <f t="array" ref="K3">OptionDelta($B$7,F3,$B$5,I3,0,G3,0)*$B$9</f>
        <v>5069.107617634053</v>
      </c>
      <c r="L3" s="38">
        <f>-K3</f>
        <v>-5069.107617634053</v>
      </c>
      <c r="P3" s="34" cm="1">
        <f t="array" ref="P3">OptionGamma(F3,$B$5,I3,0,G3,0)*F3^2/100*$B$9</f>
        <v>115127.03636255652</v>
      </c>
      <c r="Q3" s="34" cm="1">
        <f t="array" ref="Q3">OptionTheta($B$7,F3,$B$5,I3,0,G3,0)*$B$9</f>
        <v>-230.33568233170553</v>
      </c>
      <c r="R3" s="42" cm="1">
        <f t="array" ref="R3">vega(F3,$B$5,I3,0,G3,0)*$B$9</f>
        <v>1143.5603625940641</v>
      </c>
      <c r="S3" s="50"/>
      <c r="T3" s="51"/>
      <c r="U3" s="58"/>
      <c r="V3" s="52"/>
    </row>
    <row r="4" spans="1:23" ht="15" x14ac:dyDescent="0.2">
      <c r="A4" s="6" t="s">
        <v>11</v>
      </c>
      <c r="B4" s="7">
        <v>100</v>
      </c>
      <c r="C4" s="43">
        <f ca="1">C3*EXP($B$10*SQRT(1/365)*_xlfn.NORM.S.INV(RAND()))</f>
        <v>101.58819534131021</v>
      </c>
      <c r="D4" s="41">
        <f t="shared" ref="D4:D33" ca="1" si="0">$B$13+RAND()*($B$14-$B$13)</f>
        <v>0.13479050145599342</v>
      </c>
      <c r="E4" s="24">
        <v>1</v>
      </c>
      <c r="F4" s="29">
        <v>99.403479789644308</v>
      </c>
      <c r="G4" s="44">
        <v>0.22450335259167958</v>
      </c>
      <c r="H4" s="46">
        <f>F4/F3-1</f>
        <v>-5.9652021035568881E-3</v>
      </c>
      <c r="I4" s="45">
        <f>$B$6-E4/365</f>
        <v>7.9452054794520541E-2</v>
      </c>
      <c r="J4" s="34" cm="1">
        <f t="array" ref="J4">optionPrice($B$7,F4,$B$5,I4,0,G4,0)*$B$9</f>
        <v>22295.848902365804</v>
      </c>
      <c r="K4" s="37" cm="1">
        <f t="array" ref="K4">OptionDelta($B$7,F4,$B$5,I4,0,G4,0)*$B$9</f>
        <v>4749.2048989882314</v>
      </c>
      <c r="L4" s="38">
        <f t="shared" ref="L4:L32" si="1">-(K4-K3)</f>
        <v>319.90271864582155</v>
      </c>
      <c r="M4" s="34">
        <f>-K3*(F4-F3)</f>
        <v>3023.8251423867055</v>
      </c>
      <c r="N4" s="34">
        <f>J4-J3</f>
        <v>8474.325375555125</v>
      </c>
      <c r="O4" s="34">
        <f>M4+N4</f>
        <v>11498.150517941831</v>
      </c>
      <c r="P4" s="34" cm="1">
        <f t="array" ref="P4">OptionGamma(F4,$B$5,I4,0,G4,0)*F4^2/100*$B$9</f>
        <v>62542.747484169478</v>
      </c>
      <c r="Q4" s="34" cm="1">
        <f t="array" ref="Q4">OptionTheta($B$7,F4,$B$5,I4,0,G4,0)*$B$9</f>
        <v>-431.8170213759405</v>
      </c>
      <c r="R4" s="42" cm="1">
        <f t="array" ref="R4">vega(F4,$B$5,I4,0,G4,0)*$B$9</f>
        <v>1115.5907896554399</v>
      </c>
      <c r="S4" s="54">
        <f>0.5*P3*H4^2*100</f>
        <v>204.83192856867169</v>
      </c>
      <c r="T4" s="56">
        <f>Q3</f>
        <v>-230.33568233170553</v>
      </c>
      <c r="U4" s="55">
        <f>R3*(G4-G3)*100</f>
        <v>11853.17258943008</v>
      </c>
      <c r="V4" s="57">
        <f>SUM(S4:U4)</f>
        <v>11827.668835667046</v>
      </c>
      <c r="W4" s="28">
        <f>O4-V4</f>
        <v>-329.51831772521473</v>
      </c>
    </row>
    <row r="5" spans="1:23" ht="15" x14ac:dyDescent="0.2">
      <c r="A5" s="6" t="s">
        <v>12</v>
      </c>
      <c r="B5" s="7">
        <v>100</v>
      </c>
      <c r="C5" s="43">
        <f t="shared" ref="C5:C33" ca="1" si="2">C4*EXP($B$10*SQRT(1/365)*_xlfn.NORM.S.INV(RAND()))</f>
        <v>100.34594878842853</v>
      </c>
      <c r="D5" s="41">
        <f t="shared" ca="1" si="0"/>
        <v>0.20065917570491931</v>
      </c>
      <c r="E5" s="26">
        <f>E4+1</f>
        <v>2</v>
      </c>
      <c r="F5" s="29">
        <v>98.860472103529204</v>
      </c>
      <c r="G5" s="44">
        <v>0.29546543969240402</v>
      </c>
      <c r="H5" s="46">
        <f t="shared" ref="H5:H33" si="3">F5/F4-1</f>
        <v>-5.4626627484691825E-3</v>
      </c>
      <c r="I5" s="45">
        <f t="shared" ref="I5:I33" si="4">$B$6-E5/365</f>
        <v>7.6712328767123278E-2</v>
      </c>
      <c r="J5" s="34" cm="1">
        <f t="array" ref="J5">optionPrice($B$7,F5,$B$5,I5,0,G5,0)*$B$9</f>
        <v>27072.290310050703</v>
      </c>
      <c r="K5" s="37" cm="1">
        <f t="array" ref="K5">OptionDelta($B$7,F5,$B$5,I5,0,G5,0)*$B$9</f>
        <v>4605.179671658022</v>
      </c>
      <c r="L5" s="38">
        <f t="shared" si="1"/>
        <v>144.02522733020942</v>
      </c>
      <c r="M5" s="34">
        <f t="shared" ref="M5:M33" si="5">-K4*(F5-F4)</f>
        <v>2578.854763086114</v>
      </c>
      <c r="N5" s="34">
        <f t="shared" ref="N5:N33" si="6">J5-J4</f>
        <v>4776.4414076848989</v>
      </c>
      <c r="O5" s="34">
        <f t="shared" ref="O5:O33" si="7">M5+N5</f>
        <v>7355.2961707710128</v>
      </c>
      <c r="P5" s="34" cm="1">
        <f t="array" ref="P5">OptionGamma(F5,$B$5,I5,0,G5,0)*F5^2/100*$B$9</f>
        <v>47957.84590707341</v>
      </c>
      <c r="Q5" s="34" cm="1">
        <f t="array" ref="Q5">OptionTheta($B$7,F5,$B$5,I5,0,G5,0)*$B$9</f>
        <v>-573.52213774604559</v>
      </c>
      <c r="R5" s="42" cm="1">
        <f t="array" ref="R5">vega(F5,$B$5,I5,0,G5,0)*$B$9</f>
        <v>1087.0049555445264</v>
      </c>
      <c r="S5" s="54">
        <f t="shared" ref="S5:S33" si="8">0.5*P4*H5^2*100</f>
        <v>93.315919157471299</v>
      </c>
      <c r="T5" s="56">
        <f t="shared" ref="T5:T33" si="9">Q4</f>
        <v>-431.8170213759405</v>
      </c>
      <c r="U5" s="55">
        <f t="shared" ref="U5:U33" si="10">R4*(G5-G4)*100</f>
        <v>7916.4650784295272</v>
      </c>
      <c r="V5" s="57">
        <f t="shared" ref="V5:V33" si="11">SUM(S5:U5)</f>
        <v>7577.9639762110583</v>
      </c>
      <c r="W5" s="28">
        <f t="shared" ref="W5:W33" si="12">O5-V5</f>
        <v>-222.66780544004541</v>
      </c>
    </row>
    <row r="6" spans="1:23" ht="15" x14ac:dyDescent="0.2">
      <c r="A6" s="6" t="s">
        <v>10</v>
      </c>
      <c r="B6" s="39">
        <f>30/365</f>
        <v>8.2191780821917804E-2</v>
      </c>
      <c r="C6" s="43">
        <f t="shared" ca="1" si="2"/>
        <v>101.04851054243638</v>
      </c>
      <c r="D6" s="41">
        <f t="shared" ca="1" si="0"/>
        <v>0.21520046688164704</v>
      </c>
      <c r="E6" s="26">
        <f t="shared" ref="E6:E33" si="13">E5+1</f>
        <v>3</v>
      </c>
      <c r="F6" s="29">
        <v>99.492388723617339</v>
      </c>
      <c r="G6" s="44">
        <v>0.23905778516003176</v>
      </c>
      <c r="H6" s="46">
        <f t="shared" si="3"/>
        <v>6.3920048796284323E-3</v>
      </c>
      <c r="I6" s="45">
        <f t="shared" si="4"/>
        <v>7.3972602739726029E-2</v>
      </c>
      <c r="J6" s="34" cm="1">
        <f t="array" ref="J6">optionPrice($B$7,F6,$B$5,I6,0,G6,0)*$B$9</f>
        <v>23409.434524971359</v>
      </c>
      <c r="K6" s="37" cm="1">
        <f t="array" ref="K6">OptionDelta($B$7,F6,$B$5,I6,0,G6,0)*$B$9</f>
        <v>4817.5035594032897</v>
      </c>
      <c r="L6" s="38">
        <f t="shared" si="1"/>
        <v>-212.32388774526771</v>
      </c>
      <c r="M6" s="34">
        <f t="shared" si="5"/>
        <v>-2910.0895730127204</v>
      </c>
      <c r="N6" s="34">
        <f t="shared" si="6"/>
        <v>-3662.8557850793441</v>
      </c>
      <c r="O6" s="34">
        <f t="shared" si="7"/>
        <v>-6572.9453580920645</v>
      </c>
      <c r="P6" s="34" cm="1">
        <f t="array" ref="P6">OptionGamma(F6,$B$5,I6,0,G6,0)*F6^2/100*$B$9</f>
        <v>60982.729708995284</v>
      </c>
      <c r="Q6" s="34" cm="1">
        <f t="array" ref="Q6">OptionTheta($B$7,F6,$B$5,I6,0,G6,0)*$B$9</f>
        <v>-477.40810000063885</v>
      </c>
      <c r="R6" s="42" cm="1">
        <f t="array" ref="R6">vega(F6,$B$5,I6,0,G6,0)*$B$9</f>
        <v>1078.4019178784174</v>
      </c>
      <c r="S6" s="54">
        <f t="shared" si="8"/>
        <v>97.972427295132761</v>
      </c>
      <c r="T6" s="56">
        <f t="shared" si="9"/>
        <v>-573.52213774604559</v>
      </c>
      <c r="U6" s="55">
        <f t="shared" si="10"/>
        <v>-6131.540000733231</v>
      </c>
      <c r="V6" s="57">
        <f t="shared" si="11"/>
        <v>-6607.0897111841441</v>
      </c>
      <c r="W6" s="28">
        <f t="shared" si="12"/>
        <v>34.144353092079655</v>
      </c>
    </row>
    <row r="7" spans="1:23" ht="15" x14ac:dyDescent="0.2">
      <c r="A7" s="23" t="s">
        <v>24</v>
      </c>
      <c r="B7" s="40" t="s">
        <v>25</v>
      </c>
      <c r="C7" s="43">
        <f t="shared" ca="1" si="2"/>
        <v>99.805078608780889</v>
      </c>
      <c r="D7" s="41">
        <f t="shared" ca="1" si="0"/>
        <v>0.11436535151598817</v>
      </c>
      <c r="E7" s="26">
        <f t="shared" si="13"/>
        <v>4</v>
      </c>
      <c r="F7" s="29">
        <v>99.203712396979697</v>
      </c>
      <c r="G7" s="44">
        <v>0.22929851514624103</v>
      </c>
      <c r="H7" s="46">
        <f t="shared" si="3"/>
        <v>-2.9014915647423978E-3</v>
      </c>
      <c r="I7" s="45">
        <f t="shared" si="4"/>
        <v>7.1232876712328766E-2</v>
      </c>
      <c r="J7" s="34" cm="1">
        <f t="array" ref="J7">optionPrice($B$7,F7,$B$5,I7,0,G7,0)*$B$9</f>
        <v>20539.376818661167</v>
      </c>
      <c r="K7" s="37" cm="1">
        <f t="array" ref="K7">OptionDelta($B$7,F7,$B$5,I7,0,G7,0)*$B$9</f>
        <v>4601.5753751171014</v>
      </c>
      <c r="L7" s="38">
        <f t="shared" si="1"/>
        <v>215.9281842861883</v>
      </c>
      <c r="M7" s="34">
        <f t="shared" si="5"/>
        <v>1390.6992310923069</v>
      </c>
      <c r="N7" s="34">
        <f t="shared" si="6"/>
        <v>-2870.0577063101919</v>
      </c>
      <c r="O7" s="34">
        <f t="shared" si="7"/>
        <v>-1479.3584752178849</v>
      </c>
      <c r="P7" s="34" cm="1">
        <f t="array" ref="P7">OptionGamma(F7,$B$5,I7,0,G7,0)*F7^2/100*$B$9</f>
        <v>64346.278371457942</v>
      </c>
      <c r="Q7" s="34" cm="1">
        <f t="array" ref="Q7">OptionTheta($B$7,F7,$B$5,I7,0,G7,0)*$B$9</f>
        <v>-463.45018317553439</v>
      </c>
      <c r="R7" s="42" cm="1">
        <f t="array" ref="R7">vega(F7,$B$5,I7,0,G7,0)*$B$9</f>
        <v>1051.0059129583885</v>
      </c>
      <c r="S7" s="54">
        <f t="shared" si="8"/>
        <v>25.669622936209258</v>
      </c>
      <c r="T7" s="56">
        <f t="shared" si="9"/>
        <v>-477.40810000063885</v>
      </c>
      <c r="U7" s="55">
        <f t="shared" si="10"/>
        <v>-1052.4415499965255</v>
      </c>
      <c r="V7" s="57">
        <f t="shared" si="11"/>
        <v>-1504.1800270609551</v>
      </c>
      <c r="W7" s="28">
        <f t="shared" si="12"/>
        <v>24.82155184307021</v>
      </c>
    </row>
    <row r="8" spans="1:23" ht="15" x14ac:dyDescent="0.2">
      <c r="A8" s="6" t="s">
        <v>5</v>
      </c>
      <c r="B8" s="8">
        <v>0.15</v>
      </c>
      <c r="C8" s="43">
        <f t="shared" ca="1" si="2"/>
        <v>99.347313878183897</v>
      </c>
      <c r="D8" s="41">
        <f t="shared" ca="1" si="0"/>
        <v>0.16820455734172424</v>
      </c>
      <c r="E8" s="26">
        <f t="shared" si="13"/>
        <v>5</v>
      </c>
      <c r="F8" s="29">
        <v>99.289478757393653</v>
      </c>
      <c r="G8" s="44">
        <v>0.27209420661059508</v>
      </c>
      <c r="H8" s="46">
        <f t="shared" si="3"/>
        <v>8.6454789182432989E-4</v>
      </c>
      <c r="I8" s="45">
        <f t="shared" si="4"/>
        <v>6.8493150684931503E-2</v>
      </c>
      <c r="J8" s="34" cm="1">
        <f t="array" ref="J8">optionPrice($B$7,F8,$B$5,I8,0,G8,0)*$B$9</f>
        <v>24891.00133703836</v>
      </c>
      <c r="K8" s="37" cm="1">
        <f t="array" ref="K8">OptionDelta($B$7,F8,$B$5,I8,0,G8,0)*$B$9</f>
        <v>4742.745605883505</v>
      </c>
      <c r="L8" s="38">
        <f t="shared" si="1"/>
        <v>-141.17023076640362</v>
      </c>
      <c r="M8" s="34">
        <f t="shared" si="5"/>
        <v>-394.66037209427822</v>
      </c>
      <c r="N8" s="34">
        <f t="shared" si="6"/>
        <v>4351.6245183771935</v>
      </c>
      <c r="O8" s="34">
        <f t="shared" si="7"/>
        <v>3956.9641462829154</v>
      </c>
      <c r="P8" s="34" cm="1">
        <f t="array" ref="P8">OptionGamma(F8,$B$5,I8,0,G8,0)*F8^2/100*$B$9</f>
        <v>55509.361758820043</v>
      </c>
      <c r="Q8" s="34" cm="1">
        <f t="array" ref="Q8">OptionTheta($B$7,F8,$B$5,I8,0,G8,0)*$B$9</f>
        <v>-562.96573681725795</v>
      </c>
      <c r="R8" s="42" cm="1">
        <f t="array" ref="R8">vega(F8,$B$5,I8,0,G8,0)*$B$9</f>
        <v>1034.5051881662087</v>
      </c>
      <c r="S8" s="54">
        <f t="shared" si="8"/>
        <v>2.4047589514564987</v>
      </c>
      <c r="T8" s="56">
        <f t="shared" si="9"/>
        <v>-463.45018317553439</v>
      </c>
      <c r="U8" s="55">
        <f t="shared" si="10"/>
        <v>4497.8524778178944</v>
      </c>
      <c r="V8" s="57">
        <f t="shared" si="11"/>
        <v>4036.8070535938164</v>
      </c>
      <c r="W8" s="28">
        <f t="shared" si="12"/>
        <v>-79.842907310900955</v>
      </c>
    </row>
    <row r="9" spans="1:23" ht="15" x14ac:dyDescent="0.2">
      <c r="A9" s="6" t="s">
        <v>17</v>
      </c>
      <c r="B9" s="21">
        <v>10000</v>
      </c>
      <c r="C9" s="43">
        <f t="shared" ca="1" si="2"/>
        <v>98.791760811279005</v>
      </c>
      <c r="D9" s="41">
        <f t="shared" ca="1" si="0"/>
        <v>0.1900425764416297</v>
      </c>
      <c r="E9" s="26">
        <f t="shared" si="13"/>
        <v>6</v>
      </c>
      <c r="F9" s="29">
        <v>99.562003709020274</v>
      </c>
      <c r="G9" s="44">
        <v>0.26328925096449374</v>
      </c>
      <c r="H9" s="46">
        <f t="shared" si="3"/>
        <v>2.744751559150771E-3</v>
      </c>
      <c r="I9" s="45">
        <f t="shared" si="4"/>
        <v>6.575342465753424E-2</v>
      </c>
      <c r="J9" s="34" cm="1">
        <f t="array" ref="J9">optionPrice($B$7,F9,$B$5,I9,0,G9,0)*$B$9</f>
        <v>24736.776800645755</v>
      </c>
      <c r="K9" s="37" cm="1">
        <f t="array" ref="K9">OptionDelta($B$7,F9,$B$5,I9,0,G9,0)*$B$9</f>
        <v>4875.3080759590193</v>
      </c>
      <c r="L9" s="38">
        <f t="shared" si="1"/>
        <v>-132.56247007551428</v>
      </c>
      <c r="M9" s="34">
        <f t="shared" si="5"/>
        <v>-1292.516516820775</v>
      </c>
      <c r="N9" s="34">
        <f t="shared" si="6"/>
        <v>-154.22453639260493</v>
      </c>
      <c r="O9" s="34">
        <f t="shared" si="7"/>
        <v>-1446.7410532133799</v>
      </c>
      <c r="P9" s="34" cm="1">
        <f t="array" ref="P9">OptionGamma(F9,$B$5,I9,0,G9,0)*F9^2/100*$B$9</f>
        <v>58802.957991836993</v>
      </c>
      <c r="Q9" s="34" cm="1">
        <f t="array" ref="Q9">OptionTheta($B$7,F9,$B$5,I9,0,G9,0)*$B$9</f>
        <v>-558.39635019589332</v>
      </c>
      <c r="R9" s="42" cm="1">
        <f t="array" ref="R9">vega(F9,$B$5,I9,0,G9,0)*$B$9</f>
        <v>1018.0068009315519</v>
      </c>
      <c r="S9" s="54">
        <f t="shared" si="8"/>
        <v>20.909436027975683</v>
      </c>
      <c r="T9" s="56">
        <f t="shared" si="9"/>
        <v>-562.96573681725795</v>
      </c>
      <c r="U9" s="55">
        <f t="shared" si="10"/>
        <v>-910.87722974651899</v>
      </c>
      <c r="V9" s="57">
        <f t="shared" si="11"/>
        <v>-1452.9335305358013</v>
      </c>
      <c r="W9" s="28">
        <f t="shared" si="12"/>
        <v>6.1924773224213823</v>
      </c>
    </row>
    <row r="10" spans="1:23" ht="16" thickBot="1" x14ac:dyDescent="0.25">
      <c r="A10" s="10" t="s">
        <v>21</v>
      </c>
      <c r="B10" s="27">
        <v>0.15</v>
      </c>
      <c r="C10" s="43">
        <f t="shared" ca="1" si="2"/>
        <v>98.847101168515664</v>
      </c>
      <c r="D10" s="41">
        <f t="shared" ca="1" si="0"/>
        <v>0.27054750317120818</v>
      </c>
      <c r="E10" s="26">
        <f t="shared" si="13"/>
        <v>7</v>
      </c>
      <c r="F10" s="29">
        <v>99.870040955186241</v>
      </c>
      <c r="G10" s="44">
        <v>0.18229768258743156</v>
      </c>
      <c r="H10" s="46">
        <f t="shared" si="3"/>
        <v>3.0939237328553304E-3</v>
      </c>
      <c r="I10" s="45">
        <f t="shared" si="4"/>
        <v>6.3013698630136977E-2</v>
      </c>
      <c r="J10" s="34" cm="1">
        <f t="array" ref="J10">optionPrice($B$7,F10,$B$5,I10,0,G10,0)*$B$9</f>
        <v>17600.243758862605</v>
      </c>
      <c r="K10" s="37" cm="1">
        <f t="array" ref="K10">OptionDelta($B$7,F10,$B$5,I10,0,G10,0)*$B$9</f>
        <v>4977.9101969532267</v>
      </c>
      <c r="L10" s="38">
        <f t="shared" si="1"/>
        <v>-102.60212099420733</v>
      </c>
      <c r="M10" s="34">
        <f t="shared" si="5"/>
        <v>-1501.7764739291124</v>
      </c>
      <c r="N10" s="34">
        <f t="shared" si="6"/>
        <v>-7136.5330417831501</v>
      </c>
      <c r="O10" s="34">
        <f t="shared" si="7"/>
        <v>-8638.3095157122625</v>
      </c>
      <c r="P10" s="34" cm="1">
        <f t="array" ref="P10">OptionGamma(F10,$B$5,I10,0,G10,0)*F10^2/100*$B$9</f>
        <v>87064.277924513081</v>
      </c>
      <c r="Q10" s="34" cm="1">
        <f t="array" ref="Q10">OptionTheta($B$7,F10,$B$5,I10,0,G10,0)*$B$9</f>
        <v>-396.3505252428904</v>
      </c>
      <c r="R10" s="42" cm="1">
        <f t="array" ref="R10">vega(F10,$B$5,I10,0,G10,0)*$B$9</f>
        <v>1000.1292338112236</v>
      </c>
      <c r="S10" s="54">
        <f t="shared" si="8"/>
        <v>28.144166099031064</v>
      </c>
      <c r="T10" s="56">
        <f t="shared" si="9"/>
        <v>-558.39635019589332</v>
      </c>
      <c r="U10" s="55">
        <f t="shared" si="10"/>
        <v>-8244.9967425962095</v>
      </c>
      <c r="V10" s="57">
        <f t="shared" si="11"/>
        <v>-8775.2489266930716</v>
      </c>
      <c r="W10" s="28">
        <f t="shared" si="12"/>
        <v>136.93941098080904</v>
      </c>
    </row>
    <row r="11" spans="1:23" x14ac:dyDescent="0.15">
      <c r="C11" s="43">
        <f t="shared" ca="1" si="2"/>
        <v>98.194547748552239</v>
      </c>
      <c r="D11" s="41">
        <f t="shared" ca="1" si="0"/>
        <v>0.26645077654482707</v>
      </c>
      <c r="E11" s="26">
        <f t="shared" si="13"/>
        <v>8</v>
      </c>
      <c r="F11" s="29">
        <v>100.14785761553709</v>
      </c>
      <c r="G11" s="44">
        <v>0.28531235527736676</v>
      </c>
      <c r="H11" s="46">
        <f t="shared" si="3"/>
        <v>2.7817817805393386E-3</v>
      </c>
      <c r="I11" s="45">
        <f t="shared" si="4"/>
        <v>6.0273972602739721E-2</v>
      </c>
      <c r="J11" s="34" cm="1">
        <f t="array" ref="J11">optionPrice($B$7,F11,$B$5,I11,0,G11,0)*$B$9</f>
        <v>28704.897129453784</v>
      </c>
      <c r="K11" s="37" cm="1">
        <f t="array" ref="K11">OptionDelta($B$7,F11,$B$5,I11,0,G11,0)*$B$9</f>
        <v>5223.7535045042468</v>
      </c>
      <c r="L11" s="38">
        <f t="shared" si="1"/>
        <v>-245.84330755102019</v>
      </c>
      <c r="M11" s="34">
        <f t="shared" si="5"/>
        <v>-1382.9463864439922</v>
      </c>
      <c r="N11" s="34">
        <f t="shared" si="6"/>
        <v>11104.653370591179</v>
      </c>
      <c r="O11" s="34">
        <f t="shared" si="7"/>
        <v>9721.7069841471857</v>
      </c>
      <c r="P11" s="34" cm="1">
        <f t="array" ref="P11">OptionGamma(F11,$B$5,I11,0,G11,0)*F11^2/100*$B$9</f>
        <v>56948.519882833491</v>
      </c>
      <c r="Q11" s="34" cm="1">
        <f t="array" ref="Q11">OptionTheta($B$7,F11,$B$5,I11,0,G11,0)*$B$9</f>
        <v>-635.03949877049581</v>
      </c>
      <c r="R11" s="42" cm="1">
        <f t="array" ref="R11">vega(F11,$B$5,I11,0,G11,0)*$B$9</f>
        <v>979.33851896242675</v>
      </c>
      <c r="S11" s="54">
        <f t="shared" si="8"/>
        <v>33.686518079150396</v>
      </c>
      <c r="T11" s="56">
        <f t="shared" si="9"/>
        <v>-396.3505252428904</v>
      </c>
      <c r="U11" s="55">
        <f t="shared" si="10"/>
        <v>10302.798566869886</v>
      </c>
      <c r="V11" s="57">
        <f t="shared" si="11"/>
        <v>9940.1345597061463</v>
      </c>
      <c r="W11" s="28">
        <f t="shared" si="12"/>
        <v>-218.4275755589606</v>
      </c>
    </row>
    <row r="12" spans="1:23" ht="15" x14ac:dyDescent="0.2">
      <c r="A12" s="66" t="s">
        <v>28</v>
      </c>
      <c r="C12" s="43">
        <f t="shared" ca="1" si="2"/>
        <v>98.091879885656226</v>
      </c>
      <c r="D12" s="41">
        <f t="shared" ca="1" si="0"/>
        <v>0.15924112713455724</v>
      </c>
      <c r="E12" s="26">
        <f t="shared" si="13"/>
        <v>9</v>
      </c>
      <c r="F12" s="29">
        <v>101.10047945463957</v>
      </c>
      <c r="G12" s="44">
        <v>0.21111723361884899</v>
      </c>
      <c r="H12" s="46">
        <f t="shared" si="3"/>
        <v>9.5121539470124361E-3</v>
      </c>
      <c r="I12" s="45">
        <f t="shared" si="4"/>
        <v>5.7534246575342465E-2</v>
      </c>
      <c r="J12" s="34" cm="1">
        <f t="array" ref="J12">optionPrice($B$7,F12,$B$5,I12,0,G12,0)*$B$9</f>
        <v>26285.953942173848</v>
      </c>
      <c r="K12" s="37" cm="1">
        <f t="array" ref="K12">OptionDelta($B$7,F12,$B$5,I12,0,G12,0)*$B$9</f>
        <v>5953.9689736868295</v>
      </c>
      <c r="L12" s="38">
        <f t="shared" si="1"/>
        <v>-730.21546918258264</v>
      </c>
      <c r="M12" s="34">
        <f t="shared" si="5"/>
        <v>-4976.2616704788452</v>
      </c>
      <c r="N12" s="34">
        <f t="shared" si="6"/>
        <v>-2418.943187279936</v>
      </c>
      <c r="O12" s="34">
        <f t="shared" si="7"/>
        <v>-7395.2048577587811</v>
      </c>
      <c r="P12" s="34" cm="1">
        <f t="array" ref="P12">OptionGamma(F12,$B$5,I12,0,G12,0)*F12^2/100*$B$9</f>
        <v>77360.111273696923</v>
      </c>
      <c r="Q12" s="34" cm="1">
        <f t="array" ref="Q12">OptionTheta($B$7,F12,$B$5,I12,0,G12,0)*$B$9</f>
        <v>-472.32572357251064</v>
      </c>
      <c r="R12" s="42" cm="1">
        <f t="array" ref="R12">vega(F12,$B$5,I12,0,G12,0)*$B$9</f>
        <v>939.65234623433901</v>
      </c>
      <c r="S12" s="54">
        <f t="shared" si="8"/>
        <v>257.63815841701575</v>
      </c>
      <c r="T12" s="56">
        <f t="shared" si="9"/>
        <v>-635.03949877049581</v>
      </c>
      <c r="U12" s="55">
        <f t="shared" si="10"/>
        <v>-7266.2140559289865</v>
      </c>
      <c r="V12" s="57">
        <f t="shared" si="11"/>
        <v>-7643.6153962824665</v>
      </c>
      <c r="W12" s="28">
        <f t="shared" si="12"/>
        <v>248.41053852368532</v>
      </c>
    </row>
    <row r="13" spans="1:23" ht="15" x14ac:dyDescent="0.15">
      <c r="A13" s="64" t="s">
        <v>29</v>
      </c>
      <c r="B13" s="65">
        <v>0.1</v>
      </c>
      <c r="C13" s="43">
        <f t="shared" ca="1" si="2"/>
        <v>97.456592787890642</v>
      </c>
      <c r="D13" s="41">
        <f t="shared" ca="1" si="0"/>
        <v>0.16070561869080693</v>
      </c>
      <c r="E13" s="26">
        <f t="shared" si="13"/>
        <v>10</v>
      </c>
      <c r="F13" s="29">
        <v>100.14696026177836</v>
      </c>
      <c r="G13" s="44">
        <v>0.24778838715440421</v>
      </c>
      <c r="H13" s="46">
        <f t="shared" si="3"/>
        <v>-9.4314012950751369E-3</v>
      </c>
      <c r="I13" s="45">
        <f t="shared" si="4"/>
        <v>5.4794520547945202E-2</v>
      </c>
      <c r="J13" s="34" cm="1">
        <f t="array" ref="J13">optionPrice($B$7,F13,$B$5,I13,0,G13,0)*$B$9</f>
        <v>23895.775958962062</v>
      </c>
      <c r="K13" s="37" cm="1">
        <f t="array" ref="K13">OptionDelta($B$7,F13,$B$5,I13,0,G13,0)*$B$9</f>
        <v>5216.5971642319109</v>
      </c>
      <c r="L13" s="38">
        <f t="shared" si="1"/>
        <v>737.37180945491855</v>
      </c>
      <c r="M13" s="34">
        <f t="shared" si="5"/>
        <v>5677.2236901105398</v>
      </c>
      <c r="N13" s="34">
        <f t="shared" si="6"/>
        <v>-2390.1779832117863</v>
      </c>
      <c r="O13" s="34">
        <f t="shared" si="7"/>
        <v>3287.0457068987535</v>
      </c>
      <c r="P13" s="34" cm="1">
        <f t="array" ref="P13">OptionGamma(F13,$B$5,I13,0,G13,0)*F13^2/100*$B$9</f>
        <v>68779.276855081669</v>
      </c>
      <c r="Q13" s="34" cm="1">
        <f t="array" ref="Q13">OptionTheta($B$7,F13,$B$5,I13,0,G13,0)*$B$9</f>
        <v>-578.49104831479804</v>
      </c>
      <c r="R13" s="42" cm="1">
        <f t="array" ref="R13">vega(F13,$B$5,I13,0,G13,0)*$B$9</f>
        <v>933.84690857900966</v>
      </c>
      <c r="S13" s="54">
        <f t="shared" si="8"/>
        <v>344.06424084083443</v>
      </c>
      <c r="T13" s="56">
        <f t="shared" si="9"/>
        <v>-472.32572357251064</v>
      </c>
      <c r="U13" s="55">
        <f t="shared" si="10"/>
        <v>3445.8135458804145</v>
      </c>
      <c r="V13" s="57">
        <f t="shared" si="11"/>
        <v>3317.5520631487384</v>
      </c>
      <c r="W13" s="28">
        <f t="shared" si="12"/>
        <v>-30.506356249984947</v>
      </c>
    </row>
    <row r="14" spans="1:23" ht="15" x14ac:dyDescent="0.15">
      <c r="A14" s="64" t="s">
        <v>30</v>
      </c>
      <c r="B14" s="65">
        <v>0.3</v>
      </c>
      <c r="C14" s="43">
        <f t="shared" ca="1" si="2"/>
        <v>96.564023502546803</v>
      </c>
      <c r="D14" s="41">
        <f t="shared" ca="1" si="0"/>
        <v>0.22813548010342866</v>
      </c>
      <c r="E14" s="26">
        <f t="shared" si="13"/>
        <v>11</v>
      </c>
      <c r="F14" s="29">
        <v>100.17886302042351</v>
      </c>
      <c r="G14" s="44">
        <v>0.11783773076528535</v>
      </c>
      <c r="H14" s="46">
        <f t="shared" si="3"/>
        <v>3.1855943067826686E-4</v>
      </c>
      <c r="I14" s="45">
        <f t="shared" si="4"/>
        <v>5.205479452054794E-2</v>
      </c>
      <c r="J14" s="34" cm="1">
        <f t="array" ref="J14">optionPrice($B$7,F14,$B$5,I14,0,G14,0)*$B$9</f>
        <v>11652.967030769545</v>
      </c>
      <c r="K14" s="37" cm="1">
        <f t="array" ref="K14">OptionDelta($B$7,F14,$B$5,I14,0,G14,0)*$B$9</f>
        <v>5318.4614905925109</v>
      </c>
      <c r="L14" s="38">
        <f t="shared" si="1"/>
        <v>-101.86432636059999</v>
      </c>
      <c r="M14" s="34">
        <f t="shared" si="5"/>
        <v>-166.42384027944092</v>
      </c>
      <c r="N14" s="34">
        <f t="shared" si="6"/>
        <v>-12242.808928192517</v>
      </c>
      <c r="O14" s="34">
        <f t="shared" si="7"/>
        <v>-12409.232768471958</v>
      </c>
      <c r="P14" s="34" cm="1">
        <f t="array" ref="P14">OptionGamma(F14,$B$5,I14,0,G14,0)*F14^2/100*$B$9</f>
        <v>148178.3514185251</v>
      </c>
      <c r="Q14" s="34" cm="1">
        <f t="array" ref="Q14">OptionTheta($B$7,F14,$B$5,I14,0,G14,0)*$B$9</f>
        <v>-281.85817766944558</v>
      </c>
      <c r="R14" s="42" cm="1">
        <f t="array" ref="R14">vega(F14,$B$5,I14,0,G14,0)*$B$9</f>
        <v>908.92880250493124</v>
      </c>
      <c r="S14" s="54">
        <f t="shared" si="8"/>
        <v>0.34898643205457303</v>
      </c>
      <c r="T14" s="56">
        <f t="shared" si="9"/>
        <v>-578.49104831479804</v>
      </c>
      <c r="U14" s="55">
        <f t="shared" si="10"/>
        <v>-12135.401873679175</v>
      </c>
      <c r="V14" s="57">
        <f t="shared" si="11"/>
        <v>-12713.543935561918</v>
      </c>
      <c r="W14" s="28">
        <f t="shared" si="12"/>
        <v>304.31116708995978</v>
      </c>
    </row>
    <row r="15" spans="1:23" x14ac:dyDescent="0.15">
      <c r="C15" s="43">
        <f t="shared" ca="1" si="2"/>
        <v>96.208398119083469</v>
      </c>
      <c r="D15" s="41">
        <f t="shared" ca="1" si="0"/>
        <v>0.13991707230562339</v>
      </c>
      <c r="E15" s="26">
        <f t="shared" si="13"/>
        <v>12</v>
      </c>
      <c r="F15" s="29">
        <v>99.990650916380957</v>
      </c>
      <c r="G15" s="44">
        <v>0.24134252462188471</v>
      </c>
      <c r="H15" s="46">
        <f t="shared" si="3"/>
        <v>-1.87876063241188E-3</v>
      </c>
      <c r="I15" s="45">
        <f t="shared" si="4"/>
        <v>4.9315068493150684E-2</v>
      </c>
      <c r="J15" s="34" cm="1">
        <f t="array" ref="J15">optionPrice($B$7,F15,$B$5,I15,0,G15,0)*$B$9</f>
        <v>21331.010831273288</v>
      </c>
      <c r="K15" s="37" cm="1">
        <f t="array" ref="K15">OptionDelta($B$7,F15,$B$5,I15,0,G15,0)*$B$9</f>
        <v>5099.9364915460974</v>
      </c>
      <c r="L15" s="38">
        <f t="shared" si="1"/>
        <v>218.52499904641354</v>
      </c>
      <c r="M15" s="34">
        <f t="shared" si="5"/>
        <v>1000.9988274136871</v>
      </c>
      <c r="N15" s="34">
        <f t="shared" si="6"/>
        <v>9678.0438005037431</v>
      </c>
      <c r="O15" s="34">
        <f t="shared" si="7"/>
        <v>10679.04262791743</v>
      </c>
      <c r="P15" s="34" cm="1">
        <f t="array" ref="P15">OptionGamma(F15,$B$5,I15,0,G15,0)*F15^2/100*$B$9</f>
        <v>74406.263636711607</v>
      </c>
      <c r="Q15" s="34" cm="1">
        <f t="array" ref="Q15">OptionTheta($B$7,F15,$B$5,I15,0,G15,0)*$B$9</f>
        <v>-593.68262588025709</v>
      </c>
      <c r="R15" s="42" cm="1">
        <f t="array" ref="R15">vega(F15,$B$5,I15,0,G15,0)*$B$9</f>
        <v>885.57018971994353</v>
      </c>
      <c r="S15" s="54">
        <f t="shared" si="8"/>
        <v>26.151563923166638</v>
      </c>
      <c r="T15" s="56">
        <f t="shared" si="9"/>
        <v>-281.85817766944558</v>
      </c>
      <c r="U15" s="55">
        <f t="shared" si="10"/>
        <v>11225.706438369723</v>
      </c>
      <c r="V15" s="57">
        <f t="shared" si="11"/>
        <v>10969.999824623445</v>
      </c>
      <c r="W15" s="28">
        <f t="shared" si="12"/>
        <v>-290.95719670601466</v>
      </c>
    </row>
    <row r="16" spans="1:23" x14ac:dyDescent="0.15">
      <c r="C16" s="43">
        <f t="shared" ca="1" si="2"/>
        <v>95.236013172152923</v>
      </c>
      <c r="D16" s="41">
        <f t="shared" ca="1" si="0"/>
        <v>0.11670209354927458</v>
      </c>
      <c r="E16" s="26">
        <f t="shared" si="13"/>
        <v>13</v>
      </c>
      <c r="F16" s="29">
        <v>99.938632396583472</v>
      </c>
      <c r="G16" s="44">
        <v>0.28178619881629119</v>
      </c>
      <c r="H16" s="46">
        <f t="shared" si="3"/>
        <v>-5.2023383507115994E-4</v>
      </c>
      <c r="I16" s="45">
        <f t="shared" si="4"/>
        <v>4.6575342465753421E-2</v>
      </c>
      <c r="J16" s="34" cm="1">
        <f t="array" ref="J16">optionPrice($B$7,F16,$B$5,I16,0,G16,0)*$B$9</f>
        <v>23944.166642325654</v>
      </c>
      <c r="K16" s="37" cm="1">
        <f t="array" ref="K16">OptionDelta($B$7,F16,$B$5,I16,0,G16,0)*$B$9</f>
        <v>5081.0288892653534</v>
      </c>
      <c r="L16" s="38">
        <f t="shared" si="1"/>
        <v>18.907602280743959</v>
      </c>
      <c r="M16" s="34">
        <f t="shared" si="5"/>
        <v>265.29114735140888</v>
      </c>
      <c r="N16" s="34">
        <f t="shared" si="6"/>
        <v>2613.1558110523656</v>
      </c>
      <c r="O16" s="34">
        <f t="shared" si="7"/>
        <v>2878.4469584037743</v>
      </c>
      <c r="P16" s="34" cm="1">
        <f t="array" ref="P16">OptionGamma(F16,$B$5,I16,0,G16,0)*F16^2/100*$B$9</f>
        <v>65547.499343609117</v>
      </c>
      <c r="Q16" s="34" cm="1">
        <f t="array" ref="Q16">OptionTheta($B$7,F16,$B$5,I16,0,G16,0)*$B$9</f>
        <v>-712.97237850085639</v>
      </c>
      <c r="R16" s="42" cm="1">
        <f t="array" ref="R16">vega(F16,$B$5,I16,0,G16,0)*$B$9</f>
        <v>860.2643057346088</v>
      </c>
      <c r="S16" s="54">
        <f t="shared" si="8"/>
        <v>1.0068776250762683</v>
      </c>
      <c r="T16" s="56">
        <f t="shared" si="9"/>
        <v>-593.68262588025709</v>
      </c>
      <c r="U16" s="55">
        <f t="shared" si="10"/>
        <v>3581.5712229312126</v>
      </c>
      <c r="V16" s="57">
        <f t="shared" si="11"/>
        <v>2988.8954746760319</v>
      </c>
      <c r="W16" s="28">
        <f t="shared" si="12"/>
        <v>-110.44851627225762</v>
      </c>
    </row>
    <row r="17" spans="2:23" x14ac:dyDescent="0.15">
      <c r="C17" s="43">
        <f t="shared" ca="1" si="2"/>
        <v>95.378939780322042</v>
      </c>
      <c r="D17" s="41">
        <f t="shared" ca="1" si="0"/>
        <v>0.10106193644096395</v>
      </c>
      <c r="E17" s="26">
        <f t="shared" si="13"/>
        <v>14</v>
      </c>
      <c r="F17" s="29">
        <v>100.55750278936495</v>
      </c>
      <c r="G17" s="44">
        <v>0.22110898717390959</v>
      </c>
      <c r="H17" s="46">
        <f t="shared" si="3"/>
        <v>6.1925041191841501E-3</v>
      </c>
      <c r="I17" s="45">
        <f t="shared" si="4"/>
        <v>4.3835616438356158E-2</v>
      </c>
      <c r="J17" s="34" cm="1">
        <f t="array" ref="J17">optionPrice($B$7,F17,$B$5,I17,0,G17,0)*$B$9</f>
        <v>21439.12783525643</v>
      </c>
      <c r="K17" s="37" cm="1">
        <f t="array" ref="K17">OptionDelta($B$7,F17,$B$5,I17,0,G17,0)*$B$9</f>
        <v>5569.4975433058989</v>
      </c>
      <c r="L17" s="38">
        <f t="shared" si="1"/>
        <v>-488.46865404054552</v>
      </c>
      <c r="M17" s="34">
        <f t="shared" si="5"/>
        <v>-3144.4983444336672</v>
      </c>
      <c r="N17" s="34">
        <f t="shared" si="6"/>
        <v>-2505.0388070692243</v>
      </c>
      <c r="O17" s="34">
        <f t="shared" si="7"/>
        <v>-5649.537151502891</v>
      </c>
      <c r="P17" s="34" cm="1">
        <f t="array" ref="P17">OptionGamma(F17,$B$5,I17,0,G17,0)*F17^2/100*$B$9</f>
        <v>85772.727015995726</v>
      </c>
      <c r="Q17" s="34" cm="1">
        <f t="array" ref="Q17">OptionTheta($B$7,F17,$B$5,I17,0,G17,0)*$B$9</f>
        <v>-574.43269194513312</v>
      </c>
      <c r="R17" s="42" cm="1">
        <f t="array" ref="R17">vega(F17,$B$5,I17,0,G17,0)*$B$9</f>
        <v>831.34776099292276</v>
      </c>
      <c r="S17" s="54">
        <f t="shared" si="8"/>
        <v>125.67784941774143</v>
      </c>
      <c r="T17" s="56">
        <f t="shared" si="9"/>
        <v>-712.97237850085639</v>
      </c>
      <c r="U17" s="55">
        <f t="shared" si="10"/>
        <v>-5219.8439347445328</v>
      </c>
      <c r="V17" s="57">
        <f t="shared" si="11"/>
        <v>-5807.1384638276477</v>
      </c>
      <c r="W17" s="28">
        <f t="shared" si="12"/>
        <v>157.60131232475669</v>
      </c>
    </row>
    <row r="18" spans="2:23" x14ac:dyDescent="0.15">
      <c r="C18" s="43">
        <f t="shared" ca="1" si="2"/>
        <v>93.682653833308791</v>
      </c>
      <c r="D18" s="41">
        <f t="shared" ca="1" si="0"/>
        <v>0.12509983031361249</v>
      </c>
      <c r="E18" s="26">
        <f t="shared" si="13"/>
        <v>15</v>
      </c>
      <c r="F18" s="29">
        <v>101.71861414829593</v>
      </c>
      <c r="G18" s="44">
        <v>0.27967840389704218</v>
      </c>
      <c r="H18" s="46">
        <f t="shared" si="3"/>
        <v>1.1546740190666149E-2</v>
      </c>
      <c r="I18" s="45">
        <f t="shared" si="4"/>
        <v>4.1095890410958902E-2</v>
      </c>
      <c r="J18" s="34" cm="1">
        <f t="array" ref="J18">optionPrice($B$7,F18,$B$5,I18,0,G18,0)*$B$9</f>
        <v>32425.328234590721</v>
      </c>
      <c r="K18" s="37" cm="1">
        <f t="array" ref="K18">OptionDelta($B$7,F18,$B$5,I18,0,G18,0)*$B$9</f>
        <v>6288.8323756548707</v>
      </c>
      <c r="L18" s="38">
        <f t="shared" si="1"/>
        <v>-719.33483234897176</v>
      </c>
      <c r="M18" s="34">
        <f t="shared" si="5"/>
        <v>-6466.8068610706723</v>
      </c>
      <c r="N18" s="34">
        <f t="shared" si="6"/>
        <v>10986.200399334291</v>
      </c>
      <c r="O18" s="34">
        <f t="shared" si="7"/>
        <v>4519.3935382636191</v>
      </c>
      <c r="P18" s="34" cm="1">
        <f t="array" ref="P18">OptionGamma(F18,$B$5,I18,0,G18,0)*F18^2/100*$B$9</f>
        <v>67805.175986076472</v>
      </c>
      <c r="Q18" s="34" cm="1">
        <f t="array" ref="Q18">OptionTheta($B$7,F18,$B$5,I18,0,G18,0)*$B$9</f>
        <v>-726.53719410881422</v>
      </c>
      <c r="R18" s="42" cm="1">
        <f t="array" ref="R18">vega(F18,$B$5,I18,0,G18,0)*$B$9</f>
        <v>779.3278107839966</v>
      </c>
      <c r="S18" s="54">
        <f t="shared" si="8"/>
        <v>571.79191519993435</v>
      </c>
      <c r="T18" s="56">
        <f t="shared" si="9"/>
        <v>-574.43269194513312</v>
      </c>
      <c r="U18" s="55">
        <f t="shared" si="10"/>
        <v>4869.1553455437725</v>
      </c>
      <c r="V18" s="57">
        <f t="shared" si="11"/>
        <v>4866.5145687985732</v>
      </c>
      <c r="W18" s="28">
        <f t="shared" si="12"/>
        <v>-347.12103053495412</v>
      </c>
    </row>
    <row r="19" spans="2:23" x14ac:dyDescent="0.15">
      <c r="C19" s="43">
        <f t="shared" ca="1" si="2"/>
        <v>91.762223956805897</v>
      </c>
      <c r="D19" s="41">
        <f t="shared" ca="1" si="0"/>
        <v>0.29469434761692093</v>
      </c>
      <c r="E19" s="26">
        <f t="shared" si="13"/>
        <v>16</v>
      </c>
      <c r="F19" s="29">
        <v>100.66295682936482</v>
      </c>
      <c r="G19" s="44">
        <v>0.16104814588454444</v>
      </c>
      <c r="H19" s="46">
        <f t="shared" si="3"/>
        <v>-1.0378211773432788E-2</v>
      </c>
      <c r="I19" s="45">
        <f t="shared" si="4"/>
        <v>3.8356164383561639E-2</v>
      </c>
      <c r="J19" s="34" cm="1">
        <f t="array" ref="J19">optionPrice($B$7,F19,$B$5,I19,0,G19,0)*$B$9</f>
        <v>16214.943137830318</v>
      </c>
      <c r="K19" s="37" cm="1">
        <f t="array" ref="K19">OptionDelta($B$7,F19,$B$5,I19,0,G19,0)*$B$9</f>
        <v>5891.1409660923146</v>
      </c>
      <c r="L19" s="38">
        <f t="shared" si="1"/>
        <v>397.69140956255615</v>
      </c>
      <c r="M19" s="34">
        <f t="shared" si="5"/>
        <v>6638.8519248909897</v>
      </c>
      <c r="N19" s="34">
        <f t="shared" si="6"/>
        <v>-16210.385096760403</v>
      </c>
      <c r="O19" s="34">
        <f t="shared" si="7"/>
        <v>-9571.5331718694142</v>
      </c>
      <c r="P19" s="34" cm="1">
        <f t="array" ref="P19">OptionGamma(F19,$B$5,I19,0,G19,0)*F19^2/100*$B$9</f>
        <v>124133.00788400411</v>
      </c>
      <c r="Q19" s="34" cm="1">
        <f t="array" ref="Q19">OptionTheta($B$7,F19,$B$5,I19,0,G19,0)*$B$9</f>
        <v>-441.03786520558936</v>
      </c>
      <c r="R19" s="42" cm="1">
        <f t="array" ref="R19">vega(F19,$B$5,I19,0,G19,0)*$B$9</f>
        <v>766.79307035360443</v>
      </c>
      <c r="S19" s="54">
        <f t="shared" si="8"/>
        <v>365.15555246118311</v>
      </c>
      <c r="T19" s="56">
        <f t="shared" si="9"/>
        <v>-726.53719410881422</v>
      </c>
      <c r="U19" s="55">
        <f t="shared" si="10"/>
        <v>-9245.1859269620545</v>
      </c>
      <c r="V19" s="57">
        <f t="shared" si="11"/>
        <v>-9606.5675686096856</v>
      </c>
      <c r="W19" s="28">
        <f t="shared" si="12"/>
        <v>35.034396740271404</v>
      </c>
    </row>
    <row r="20" spans="2:23" x14ac:dyDescent="0.15">
      <c r="B20" s="35"/>
      <c r="C20" s="43">
        <f t="shared" ca="1" si="2"/>
        <v>89.917261381403904</v>
      </c>
      <c r="D20" s="41">
        <f t="shared" ca="1" si="0"/>
        <v>0.16147748648263588</v>
      </c>
      <c r="E20" s="26">
        <f t="shared" si="13"/>
        <v>17</v>
      </c>
      <c r="F20" s="29">
        <v>100.46111928281022</v>
      </c>
      <c r="G20" s="44">
        <v>0.13481518710743501</v>
      </c>
      <c r="H20" s="46">
        <f t="shared" si="3"/>
        <v>-2.0050826332941307E-3</v>
      </c>
      <c r="I20" s="45">
        <f t="shared" si="4"/>
        <v>3.5616438356164376E-2</v>
      </c>
      <c r="J20" s="34" cm="1">
        <f t="array" ref="J20">optionPrice($B$7,F20,$B$5,I20,0,G20,0)*$B$9</f>
        <v>12644.767562693034</v>
      </c>
      <c r="K20" s="37" cm="1">
        <f t="array" ref="K20">OptionDelta($B$7,F20,$B$5,I20,0,G20,0)*$B$9</f>
        <v>5767.3304599302246</v>
      </c>
      <c r="L20" s="38">
        <f t="shared" si="1"/>
        <v>123.81050616208995</v>
      </c>
      <c r="M20" s="34">
        <f t="shared" si="5"/>
        <v>1189.0534390033692</v>
      </c>
      <c r="N20" s="34">
        <f t="shared" si="6"/>
        <v>-3570.1755751372839</v>
      </c>
      <c r="O20" s="34">
        <f t="shared" si="7"/>
        <v>-2381.1221361339149</v>
      </c>
      <c r="P20" s="34" cm="1">
        <f t="array" ref="P20">OptionGamma(F20,$B$5,I20,0,G20,0)*F20^2/100*$B$9</f>
        <v>154600.16002717329</v>
      </c>
      <c r="Q20" s="34" cm="1">
        <f t="array" ref="Q20">OptionTheta($B$7,F20,$B$5,I20,0,G20,0)*$B$9</f>
        <v>-384.91489441663992</v>
      </c>
      <c r="R20" s="42" cm="1">
        <f t="array" ref="R20">vega(F20,$B$5,I20,0,G20,0)*$B$9</f>
        <v>742.33381784037226</v>
      </c>
      <c r="S20" s="54">
        <f t="shared" si="8"/>
        <v>24.95294642595535</v>
      </c>
      <c r="T20" s="56">
        <f t="shared" si="9"/>
        <v>-441.03786520558936</v>
      </c>
      <c r="U20" s="55">
        <f t="shared" si="10"/>
        <v>-2011.525100515928</v>
      </c>
      <c r="V20" s="57">
        <f t="shared" si="11"/>
        <v>-2427.6100192955619</v>
      </c>
      <c r="W20" s="28">
        <f t="shared" si="12"/>
        <v>46.487883161647005</v>
      </c>
    </row>
    <row r="21" spans="2:23" x14ac:dyDescent="0.15">
      <c r="C21" s="43">
        <f t="shared" ca="1" si="2"/>
        <v>89.395581371569548</v>
      </c>
      <c r="D21" s="41">
        <f t="shared" ca="1" si="0"/>
        <v>0.15085943118701434</v>
      </c>
      <c r="E21" s="26">
        <f t="shared" si="13"/>
        <v>18</v>
      </c>
      <c r="F21" s="29">
        <v>100.60071362169815</v>
      </c>
      <c r="G21" s="44">
        <v>0.12476775401511053</v>
      </c>
      <c r="H21" s="46">
        <f t="shared" si="3"/>
        <v>1.389535970577338E-3</v>
      </c>
      <c r="I21" s="45">
        <f t="shared" si="4"/>
        <v>3.287671232876712E-2</v>
      </c>
      <c r="J21" s="34" cm="1">
        <f t="array" ref="J21">optionPrice($B$7,F21,$B$5,I21,0,G21,0)*$B$9</f>
        <v>12371.042906240888</v>
      </c>
      <c r="K21" s="37" cm="1">
        <f t="array" ref="K21">OptionDelta($B$7,F21,$B$5,I21,0,G21,0)*$B$9</f>
        <v>6087.4575189337911</v>
      </c>
      <c r="L21" s="38">
        <f t="shared" si="1"/>
        <v>-320.1270590035665</v>
      </c>
      <c r="M21" s="34">
        <f t="shared" si="5"/>
        <v>-805.08668270219084</v>
      </c>
      <c r="N21" s="34">
        <f t="shared" si="6"/>
        <v>-273.72465645214652</v>
      </c>
      <c r="O21" s="34">
        <f t="shared" si="7"/>
        <v>-1078.8113391543375</v>
      </c>
      <c r="P21" s="34" cm="1">
        <f t="array" ref="P21">OptionGamma(F21,$B$5,I21,0,G21,0)*F21^2/100*$B$9</f>
        <v>170772.12988039505</v>
      </c>
      <c r="Q21" s="34" cm="1">
        <f t="array" ref="Q21">OptionTheta($B$7,F21,$B$5,I21,0,G21,0)*$B$9</f>
        <v>-364.16554180111035</v>
      </c>
      <c r="R21" s="42" cm="1">
        <f t="array" ref="R21">vega(F21,$B$5,I21,0,G21,0)*$B$9</f>
        <v>700.49934554148956</v>
      </c>
      <c r="S21" s="54">
        <f t="shared" si="8"/>
        <v>14.925178399678829</v>
      </c>
      <c r="T21" s="56">
        <f t="shared" si="9"/>
        <v>-384.91489441663992</v>
      </c>
      <c r="U21" s="55">
        <f t="shared" si="10"/>
        <v>-745.85493669209256</v>
      </c>
      <c r="V21" s="57">
        <f t="shared" si="11"/>
        <v>-1115.8446527090537</v>
      </c>
      <c r="W21" s="28">
        <f t="shared" si="12"/>
        <v>37.033313554716187</v>
      </c>
    </row>
    <row r="22" spans="2:23" x14ac:dyDescent="0.15">
      <c r="C22" s="43">
        <f t="shared" ca="1" si="2"/>
        <v>90.070612220743783</v>
      </c>
      <c r="D22" s="41">
        <f t="shared" ca="1" si="0"/>
        <v>0.17398147050013618</v>
      </c>
      <c r="E22" s="26">
        <f t="shared" si="13"/>
        <v>19</v>
      </c>
      <c r="F22" s="29">
        <v>101.8929920201312</v>
      </c>
      <c r="G22" s="44">
        <v>0.19125377774810745</v>
      </c>
      <c r="H22" s="46">
        <f t="shared" si="3"/>
        <v>1.2845618603587461E-2</v>
      </c>
      <c r="I22" s="45">
        <f t="shared" si="4"/>
        <v>3.0136986301369857E-2</v>
      </c>
      <c r="J22" s="34" cm="1">
        <f t="array" ref="J22">optionPrice($B$7,F22,$B$5,I22,0,G22,0)*$B$9</f>
        <v>24912.768754389275</v>
      </c>
      <c r="K22" s="37" cm="1">
        <f t="array" ref="K22">OptionDelta($B$7,F22,$B$5,I22,0,G22,0)*$B$9</f>
        <v>7195.2168582352742</v>
      </c>
      <c r="L22" s="38">
        <f t="shared" si="1"/>
        <v>-1107.7593393014831</v>
      </c>
      <c r="M22" s="34">
        <f t="shared" si="5"/>
        <v>-7866.6898530970184</v>
      </c>
      <c r="N22" s="34">
        <f t="shared" si="6"/>
        <v>12541.725848148388</v>
      </c>
      <c r="O22" s="34">
        <f t="shared" si="7"/>
        <v>4675.0359950513694</v>
      </c>
      <c r="P22" s="34" cm="1">
        <f t="array" ref="P22">OptionGamma(F22,$B$5,I22,0,G22,0)*F22^2/100*$B$9</f>
        <v>103392.18097864902</v>
      </c>
      <c r="Q22" s="34" cm="1">
        <f t="array" ref="Q22">OptionTheta($B$7,F22,$B$5,I22,0,G22,0)*$B$9</f>
        <v>-518.06574953158133</v>
      </c>
      <c r="R22" s="42" cm="1">
        <f t="array" ref="R22">vega(F22,$B$5,I22,0,G22,0)*$B$9</f>
        <v>595.93314306742195</v>
      </c>
      <c r="S22" s="54">
        <f t="shared" si="8"/>
        <v>1408.9547515108575</v>
      </c>
      <c r="T22" s="56">
        <f t="shared" si="9"/>
        <v>-364.16554180111035</v>
      </c>
      <c r="U22" s="55">
        <f t="shared" si="10"/>
        <v>4657.3416112620289</v>
      </c>
      <c r="V22" s="57">
        <f t="shared" si="11"/>
        <v>5702.1308209717763</v>
      </c>
      <c r="W22" s="28">
        <f t="shared" si="12"/>
        <v>-1027.0948259204069</v>
      </c>
    </row>
    <row r="23" spans="2:23" x14ac:dyDescent="0.15">
      <c r="C23" s="43">
        <f t="shared" ca="1" si="2"/>
        <v>89.269134850764772</v>
      </c>
      <c r="D23" s="41">
        <f t="shared" ca="1" si="0"/>
        <v>0.26111516146040115</v>
      </c>
      <c r="E23" s="26">
        <f t="shared" si="13"/>
        <v>20</v>
      </c>
      <c r="F23" s="29">
        <v>100.78940379052902</v>
      </c>
      <c r="G23" s="44">
        <v>0.15850826637906612</v>
      </c>
      <c r="H23" s="46">
        <f t="shared" si="3"/>
        <v>-1.0830855073763468E-2</v>
      </c>
      <c r="I23" s="45">
        <f t="shared" si="4"/>
        <v>2.7397260273972601E-2</v>
      </c>
      <c r="J23" s="34" cm="1">
        <f t="array" ref="J23">optionPrice($B$7,F23,$B$5,I23,0,G23,0)*$B$9</f>
        <v>14923.243546472093</v>
      </c>
      <c r="K23" s="37" cm="1">
        <f t="array" ref="K23">OptionDelta($B$7,F23,$B$5,I23,0,G23,0)*$B$9</f>
        <v>6227.9020738376676</v>
      </c>
      <c r="L23" s="38">
        <f t="shared" si="1"/>
        <v>967.31478439760667</v>
      </c>
      <c r="M23" s="34">
        <f t="shared" si="5"/>
        <v>7940.5566341836338</v>
      </c>
      <c r="N23" s="34">
        <f t="shared" si="6"/>
        <v>-9989.5252079171823</v>
      </c>
      <c r="O23" s="34">
        <f t="shared" si="7"/>
        <v>-2048.9685737335485</v>
      </c>
      <c r="P23" s="34" cm="1">
        <f t="array" ref="P23">OptionGamma(F23,$B$5,I23,0,G23,0)*F23^2/100*$B$9</f>
        <v>145938.74541426034</v>
      </c>
      <c r="Q23" s="34" cm="1">
        <f t="array" ref="Q23">OptionTheta($B$7,F23,$B$5,I23,0,G23,0)*$B$9</f>
        <v>-502.28658643803777</v>
      </c>
      <c r="R23" s="42" cm="1">
        <f t="array" ref="R23">vega(F23,$B$5,I23,0,G23,0)*$B$9</f>
        <v>633.76705570274783</v>
      </c>
      <c r="S23" s="54">
        <f t="shared" si="8"/>
        <v>606.43350835952958</v>
      </c>
      <c r="T23" s="56">
        <f t="shared" si="9"/>
        <v>-518.06574953158133</v>
      </c>
      <c r="U23" s="55">
        <f t="shared" si="10"/>
        <v>-1951.41355115028</v>
      </c>
      <c r="V23" s="57">
        <f t="shared" si="11"/>
        <v>-1863.0457923223316</v>
      </c>
      <c r="W23" s="28">
        <f t="shared" si="12"/>
        <v>-185.92278141121687</v>
      </c>
    </row>
    <row r="24" spans="2:23" x14ac:dyDescent="0.15">
      <c r="C24" s="43">
        <f t="shared" ca="1" si="2"/>
        <v>89.990630826281091</v>
      </c>
      <c r="D24" s="41">
        <f t="shared" ca="1" si="0"/>
        <v>0.15831916930902978</v>
      </c>
      <c r="E24" s="26">
        <f t="shared" si="13"/>
        <v>21</v>
      </c>
      <c r="F24" s="29">
        <v>101.4582473664741</v>
      </c>
      <c r="G24" s="44">
        <v>0.28105341829150809</v>
      </c>
      <c r="H24" s="46">
        <f t="shared" si="3"/>
        <v>6.6360505250644408E-3</v>
      </c>
      <c r="I24" s="45">
        <f t="shared" si="4"/>
        <v>2.4657534246575338E-2</v>
      </c>
      <c r="J24" s="34" cm="1">
        <f t="array" ref="J24">optionPrice($B$7,F24,$B$5,I24,0,G24,0)*$B$9</f>
        <v>25970.183267315719</v>
      </c>
      <c r="K24" s="37" cm="1">
        <f t="array" ref="K24">OptionDelta($B$7,F24,$B$5,I24,0,G24,0)*$B$9</f>
        <v>6368.6870020546648</v>
      </c>
      <c r="L24" s="38">
        <f t="shared" si="1"/>
        <v>-140.78492821699729</v>
      </c>
      <c r="M24" s="34">
        <f t="shared" si="5"/>
        <v>-4165.4922937013371</v>
      </c>
      <c r="N24" s="34">
        <f t="shared" si="6"/>
        <v>11046.939720843626</v>
      </c>
      <c r="O24" s="34">
        <f t="shared" si="7"/>
        <v>6881.4474271422887</v>
      </c>
      <c r="P24" s="34" cm="1">
        <f t="array" ref="P24">OptionGamma(F24,$B$5,I24,0,G24,0)*F24^2/100*$B$9</f>
        <v>86261.652769710592</v>
      </c>
      <c r="Q24" s="34" cm="1">
        <f t="array" ref="Q24">OptionTheta($B$7,F24,$B$5,I24,0,G24,0)*$B$9</f>
        <v>-933.41044910435562</v>
      </c>
      <c r="R24" s="42" cm="1">
        <f t="array" ref="R24">vega(F24,$B$5,I24,0,G24,0)*$B$9</f>
        <v>597.80052439896076</v>
      </c>
      <c r="S24" s="54">
        <f t="shared" si="8"/>
        <v>321.33644205004532</v>
      </c>
      <c r="T24" s="56">
        <f t="shared" si="9"/>
        <v>-502.28658643803777</v>
      </c>
      <c r="U24" s="55">
        <f t="shared" si="10"/>
        <v>7766.508011819431</v>
      </c>
      <c r="V24" s="57">
        <f t="shared" si="11"/>
        <v>7585.5578674314384</v>
      </c>
      <c r="W24" s="28">
        <f t="shared" si="12"/>
        <v>-704.11044028914966</v>
      </c>
    </row>
    <row r="25" spans="2:23" x14ac:dyDescent="0.15">
      <c r="C25" s="43">
        <f t="shared" ca="1" si="2"/>
        <v>90.392757255938008</v>
      </c>
      <c r="D25" s="41">
        <f t="shared" ca="1" si="0"/>
        <v>0.24856893428875154</v>
      </c>
      <c r="E25" s="26">
        <f t="shared" si="13"/>
        <v>22</v>
      </c>
      <c r="F25" s="29">
        <v>101.2066712898342</v>
      </c>
      <c r="G25" s="44">
        <v>0.26753536183444832</v>
      </c>
      <c r="H25" s="46">
        <f t="shared" si="3"/>
        <v>-2.4796020350241754E-3</v>
      </c>
      <c r="I25" s="45">
        <f t="shared" si="4"/>
        <v>2.1917808219178075E-2</v>
      </c>
      <c r="J25" s="34" cm="1">
        <f t="array" ref="J25">optionPrice($B$7,F25,$B$5,I25,0,G25,0)*$B$9</f>
        <v>22652.084033144747</v>
      </c>
      <c r="K25" s="37" cm="1">
        <f t="array" ref="K25">OptionDelta($B$7,F25,$B$5,I25,0,G25,0)*$B$9</f>
        <v>6265.1455779794869</v>
      </c>
      <c r="L25" s="38">
        <f t="shared" si="1"/>
        <v>103.54142407517793</v>
      </c>
      <c r="M25" s="34">
        <f t="shared" si="5"/>
        <v>1602.2092893243928</v>
      </c>
      <c r="N25" s="34">
        <f t="shared" si="6"/>
        <v>-3318.0992341709716</v>
      </c>
      <c r="O25" s="34">
        <f t="shared" si="7"/>
        <v>-1715.8899448465788</v>
      </c>
      <c r="P25" s="34" cm="1">
        <f t="array" ref="P25">OptionGamma(F25,$B$5,I25,0,G25,0)*F25^2/100*$B$9</f>
        <v>96768.88161780384</v>
      </c>
      <c r="Q25" s="34" cm="1">
        <f t="array" ref="Q25">OptionTheta($B$7,F25,$B$5,I25,0,G25,0)*$B$9</f>
        <v>-948.8012515392179</v>
      </c>
      <c r="R25" s="42" cm="1">
        <f t="array" ref="R25">vega(F25,$B$5,I25,0,G25,0)*$B$9</f>
        <v>567.43227962595154</v>
      </c>
      <c r="S25" s="54">
        <f t="shared" si="8"/>
        <v>26.518670521924047</v>
      </c>
      <c r="T25" s="56">
        <f t="shared" si="9"/>
        <v>-933.41044910435562</v>
      </c>
      <c r="U25" s="55">
        <f t="shared" si="10"/>
        <v>-808.11012388850929</v>
      </c>
      <c r="V25" s="57">
        <f t="shared" si="11"/>
        <v>-1715.0019024709409</v>
      </c>
      <c r="W25" s="28">
        <f t="shared" si="12"/>
        <v>-0.88804237563795141</v>
      </c>
    </row>
    <row r="26" spans="2:23" x14ac:dyDescent="0.15">
      <c r="C26" s="43">
        <f t="shared" ca="1" si="2"/>
        <v>89.204543983979931</v>
      </c>
      <c r="D26" s="41">
        <f t="shared" ca="1" si="0"/>
        <v>0.25064570301407357</v>
      </c>
      <c r="E26" s="26">
        <f t="shared" si="13"/>
        <v>23</v>
      </c>
      <c r="F26" s="29">
        <v>100.13795072567555</v>
      </c>
      <c r="G26" s="44">
        <v>0.27508472752655688</v>
      </c>
      <c r="H26" s="46">
        <f t="shared" si="3"/>
        <v>-1.0559783762653985E-2</v>
      </c>
      <c r="I26" s="45">
        <f t="shared" si="4"/>
        <v>1.9178082191780813E-2</v>
      </c>
      <c r="J26" s="34" cm="1">
        <f t="array" ref="J26">optionPrice($B$7,F26,$B$5,I26,0,G26,0)*$B$9</f>
        <v>15907.015873442702</v>
      </c>
      <c r="K26" s="37" cm="1">
        <f t="array" ref="K26">OptionDelta($B$7,F26,$B$5,I26,0,G26,0)*$B$9</f>
        <v>5220.2429527014929</v>
      </c>
      <c r="L26" s="38">
        <f t="shared" si="1"/>
        <v>1044.902625277994</v>
      </c>
      <c r="M26" s="34">
        <f t="shared" si="5"/>
        <v>6695.6899166343273</v>
      </c>
      <c r="N26" s="34">
        <f t="shared" si="6"/>
        <v>-6745.0681597020448</v>
      </c>
      <c r="O26" s="34">
        <f t="shared" si="7"/>
        <v>-49.378243067717449</v>
      </c>
      <c r="P26" s="34" cm="1">
        <f t="array" ref="P26">OptionGamma(F26,$B$5,I26,0,G26,0)*F26^2/100*$B$9</f>
        <v>104707.35943457305</v>
      </c>
      <c r="Q26" s="34" cm="1">
        <f t="array" ref="Q26">OptionTheta($B$7,F26,$B$5,I26,0,G26,0)*$B$9</f>
        <v>-1085.3937241747112</v>
      </c>
      <c r="R26" s="42" cm="1">
        <f t="array" ref="R26">vega(F26,$B$5,I26,0,G26,0)*$B$9</f>
        <v>552.39388515231053</v>
      </c>
      <c r="S26" s="54">
        <f t="shared" si="8"/>
        <v>539.53022123627375</v>
      </c>
      <c r="T26" s="56">
        <f t="shared" si="9"/>
        <v>-948.8012515392179</v>
      </c>
      <c r="U26" s="55">
        <f t="shared" si="10"/>
        <v>428.37537844031141</v>
      </c>
      <c r="V26" s="57">
        <f t="shared" si="11"/>
        <v>19.104348137367253</v>
      </c>
      <c r="W26" s="28">
        <f t="shared" si="12"/>
        <v>-68.482591205084702</v>
      </c>
    </row>
    <row r="27" spans="2:23" x14ac:dyDescent="0.15">
      <c r="C27" s="43">
        <f t="shared" ca="1" si="2"/>
        <v>88.195481956273213</v>
      </c>
      <c r="D27" s="41">
        <f t="shared" ca="1" si="0"/>
        <v>0.29436764170872798</v>
      </c>
      <c r="E27" s="26">
        <f t="shared" si="13"/>
        <v>24</v>
      </c>
      <c r="F27" s="29">
        <v>100.92984379061592</v>
      </c>
      <c r="G27" s="44">
        <v>0.11920467357771479</v>
      </c>
      <c r="H27" s="46">
        <f t="shared" si="3"/>
        <v>7.9080214763904699E-3</v>
      </c>
      <c r="I27" s="45">
        <f t="shared" si="4"/>
        <v>1.6438356164383564E-2</v>
      </c>
      <c r="J27" s="34" cm="1">
        <f t="array" ref="J27">optionPrice($B$7,F27,$B$5,I27,0,G27,0)*$B$9</f>
        <v>11864.817784163932</v>
      </c>
      <c r="K27" s="37" cm="1">
        <f t="array" ref="K27">OptionDelta($B$7,F27,$B$5,I27,0,G27,0)*$B$9</f>
        <v>7301.3727650643841</v>
      </c>
      <c r="L27" s="38">
        <f t="shared" si="1"/>
        <v>-2081.1298123628912</v>
      </c>
      <c r="M27" s="34">
        <f t="shared" si="5"/>
        <v>-4133.8741915481405</v>
      </c>
      <c r="N27" s="34">
        <f t="shared" si="6"/>
        <v>-4042.1980892787706</v>
      </c>
      <c r="O27" s="34">
        <f t="shared" si="7"/>
        <v>-8176.0722808269111</v>
      </c>
      <c r="P27" s="34" cm="1">
        <f t="array" ref="P27">OptionGamma(F27,$B$5,I27,0,G27,0)*F27^2/100*$B$9</f>
        <v>218297.73048414476</v>
      </c>
      <c r="Q27" s="34" cm="1">
        <f t="array" ref="Q27">OptionTheta($B$7,F27,$B$5,I27,0,G27,0)*$B$9</f>
        <v>-424.92562920577092</v>
      </c>
      <c r="R27" s="42" cm="1">
        <f t="array" ref="R27">vega(F27,$B$5,I27,0,G27,0)*$B$9</f>
        <v>427.76070748139898</v>
      </c>
      <c r="S27" s="54">
        <f t="shared" si="8"/>
        <v>327.40317899371325</v>
      </c>
      <c r="T27" s="56">
        <f t="shared" si="9"/>
        <v>-1085.3937241747112</v>
      </c>
      <c r="U27" s="55">
        <f t="shared" si="10"/>
        <v>-8610.7188618552645</v>
      </c>
      <c r="V27" s="57">
        <f t="shared" si="11"/>
        <v>-9368.7094070362618</v>
      </c>
      <c r="W27" s="28">
        <f t="shared" si="12"/>
        <v>1192.6371262093508</v>
      </c>
    </row>
    <row r="28" spans="2:23" x14ac:dyDescent="0.15">
      <c r="C28" s="43">
        <f t="shared" ca="1" si="2"/>
        <v>89.89173381093579</v>
      </c>
      <c r="D28" s="41">
        <f t="shared" ca="1" si="0"/>
        <v>0.19712129969264222</v>
      </c>
      <c r="E28" s="26">
        <f t="shared" si="13"/>
        <v>25</v>
      </c>
      <c r="F28" s="29">
        <v>100.49952964962934</v>
      </c>
      <c r="G28" s="44">
        <v>0.14804674314101215</v>
      </c>
      <c r="H28" s="46">
        <f t="shared" si="3"/>
        <v>-4.2634975427019439E-3</v>
      </c>
      <c r="I28" s="45">
        <f t="shared" si="4"/>
        <v>1.3698630136986301E-2</v>
      </c>
      <c r="J28" s="34" cm="1">
        <f t="array" ref="J28">optionPrice($B$7,F28,$B$5,I28,0,G28,0)*$B$9</f>
        <v>9712.0926864387511</v>
      </c>
      <c r="K28" s="37" cm="1">
        <f t="array" ref="K28">OptionDelta($B$7,F28,$B$5,I28,0,G28,0)*$B$9</f>
        <v>6164.7366777637526</v>
      </c>
      <c r="L28" s="38">
        <f t="shared" si="1"/>
        <v>1136.6360873006315</v>
      </c>
      <c r="M28" s="34">
        <f t="shared" si="5"/>
        <v>3141.8839494215026</v>
      </c>
      <c r="N28" s="34">
        <f t="shared" si="6"/>
        <v>-2152.7250977251806</v>
      </c>
      <c r="O28" s="34">
        <f t="shared" si="7"/>
        <v>989.15885169632202</v>
      </c>
      <c r="P28" s="34" cm="1">
        <f t="array" ref="P28">OptionGamma(F28,$B$5,I28,0,G28,0)*F28^2/100*$B$9</f>
        <v>221452.82113915691</v>
      </c>
      <c r="Q28" s="34" cm="1">
        <f t="array" ref="Q28">OptionTheta($B$7,F28,$B$5,I28,0,G28,0)*$B$9</f>
        <v>-664.8996017289171</v>
      </c>
      <c r="R28" s="42" cm="1">
        <f t="array" ref="R28">vega(F28,$B$5,I28,0,G28,0)*$B$9</f>
        <v>449.11464286357909</v>
      </c>
      <c r="S28" s="54">
        <f t="shared" si="8"/>
        <v>198.40438160651024</v>
      </c>
      <c r="T28" s="56">
        <f t="shared" si="9"/>
        <v>-424.92562920577092</v>
      </c>
      <c r="U28" s="55">
        <f t="shared" si="10"/>
        <v>1233.7504081623806</v>
      </c>
      <c r="V28" s="57">
        <f t="shared" si="11"/>
        <v>1007.2291605631199</v>
      </c>
      <c r="W28" s="28">
        <f t="shared" si="12"/>
        <v>-18.070308866797859</v>
      </c>
    </row>
    <row r="29" spans="2:23" x14ac:dyDescent="0.15">
      <c r="C29" s="43">
        <f t="shared" ca="1" si="2"/>
        <v>90.269879232921625</v>
      </c>
      <c r="D29" s="41">
        <f t="shared" ca="1" si="0"/>
        <v>0.19447413344940384</v>
      </c>
      <c r="E29" s="26">
        <f t="shared" si="13"/>
        <v>26</v>
      </c>
      <c r="F29" s="29">
        <v>99.885339868620036</v>
      </c>
      <c r="G29" s="44">
        <v>0.16496896620071616</v>
      </c>
      <c r="H29" s="46">
        <f t="shared" si="3"/>
        <v>-6.1113697064110184E-3</v>
      </c>
      <c r="I29" s="45">
        <f t="shared" si="4"/>
        <v>1.0958904109589038E-2</v>
      </c>
      <c r="J29" s="34" cm="1">
        <f t="array" ref="J29">optionPrice($B$7,F29,$B$5,I29,0,G29,0)*$B$9</f>
        <v>6327.4813877050919</v>
      </c>
      <c r="K29" s="37" cm="1">
        <f t="array" ref="K29">OptionDelta($B$7,F29,$B$5,I29,0,G29,0)*$B$9</f>
        <v>4769.5521026487941</v>
      </c>
      <c r="L29" s="38">
        <f t="shared" si="1"/>
        <v>1395.1845751149585</v>
      </c>
      <c r="M29" s="34">
        <f t="shared" si="5"/>
        <v>3786.3182700957268</v>
      </c>
      <c r="N29" s="34">
        <f t="shared" si="6"/>
        <v>-3384.6112987336592</v>
      </c>
      <c r="O29" s="34">
        <f t="shared" si="7"/>
        <v>401.70697136206763</v>
      </c>
      <c r="P29" s="34" cm="1">
        <f t="array" ref="P29">OptionGamma(F29,$B$5,I29,0,G29,0)*F29^2/100*$B$9</f>
        <v>230356.58165405769</v>
      </c>
      <c r="Q29" s="34" cm="1">
        <f t="array" ref="Q29">OptionTheta($B$7,F29,$B$5,I29,0,G29,0)*$B$9</f>
        <v>-858.7806904403003</v>
      </c>
      <c r="R29" s="42" cm="1">
        <f t="array" ref="R29">vega(F29,$B$5,I29,0,G29,0)*$B$9</f>
        <v>416.45684529315884</v>
      </c>
      <c r="S29" s="54">
        <f t="shared" si="8"/>
        <v>413.55029576393855</v>
      </c>
      <c r="T29" s="56">
        <f t="shared" si="9"/>
        <v>-664.8996017289171</v>
      </c>
      <c r="U29" s="55">
        <f t="shared" si="10"/>
        <v>760.00181659167879</v>
      </c>
      <c r="V29" s="57">
        <f t="shared" si="11"/>
        <v>508.65251062670023</v>
      </c>
      <c r="W29" s="28">
        <f t="shared" si="12"/>
        <v>-106.9455392646326</v>
      </c>
    </row>
    <row r="30" spans="2:23" x14ac:dyDescent="0.15">
      <c r="C30" s="43">
        <f t="shared" ca="1" si="2"/>
        <v>90.753655233033925</v>
      </c>
      <c r="D30" s="41">
        <f t="shared" ca="1" si="0"/>
        <v>0.22970477972038841</v>
      </c>
      <c r="E30" s="26">
        <f t="shared" si="13"/>
        <v>27</v>
      </c>
      <c r="F30" s="29">
        <v>100.24137903600928</v>
      </c>
      <c r="G30" s="44">
        <v>0.14278645558000061</v>
      </c>
      <c r="H30" s="46">
        <f t="shared" si="3"/>
        <v>3.564478709864094E-3</v>
      </c>
      <c r="I30" s="45">
        <f t="shared" si="4"/>
        <v>8.2191780821917748E-3</v>
      </c>
      <c r="J30" s="34" cm="1">
        <f t="array" ref="J30">optionPrice($B$7,F30,$B$5,I30,0,G30,0)*$B$9</f>
        <v>6466.8008985796632</v>
      </c>
      <c r="K30" s="37" cm="1">
        <f t="array" ref="K30">OptionDelta($B$7,F30,$B$5,I30,0,G30,0)*$B$9</f>
        <v>5764.0822322192544</v>
      </c>
      <c r="L30" s="38">
        <f t="shared" si="1"/>
        <v>-994.5301295704603</v>
      </c>
      <c r="M30" s="34">
        <f t="shared" si="5"/>
        <v>-1698.1473594466809</v>
      </c>
      <c r="N30" s="34">
        <f t="shared" si="6"/>
        <v>139.31951087457128</v>
      </c>
      <c r="O30" s="34">
        <f t="shared" si="7"/>
        <v>-1558.8278485721096</v>
      </c>
      <c r="P30" s="34" cm="1">
        <f t="array" ref="P30">OptionGamma(F30,$B$5,I30,0,G30,0)*F30^2/100*$B$9</f>
        <v>303243.42325450497</v>
      </c>
      <c r="Q30" s="34" cm="1">
        <f t="array" ref="Q30">OptionTheta($B$7,F30,$B$5,I30,0,G30,0)*$B$9</f>
        <v>-846.92032757439597</v>
      </c>
      <c r="R30" s="42" cm="1">
        <f t="array" ref="R30">vega(F30,$B$5,I30,0,G30,0)*$B$9</f>
        <v>355.88263220101356</v>
      </c>
      <c r="S30" s="54">
        <f t="shared" si="8"/>
        <v>146.3398750017042</v>
      </c>
      <c r="T30" s="56">
        <f t="shared" si="9"/>
        <v>-858.7806904403003</v>
      </c>
      <c r="U30" s="55">
        <f t="shared" si="10"/>
        <v>-923.80583937851884</v>
      </c>
      <c r="V30" s="57">
        <f t="shared" si="11"/>
        <v>-1636.2466548171151</v>
      </c>
      <c r="W30" s="28">
        <f t="shared" si="12"/>
        <v>77.418806245005499</v>
      </c>
    </row>
    <row r="31" spans="2:23" x14ac:dyDescent="0.15">
      <c r="C31" s="43">
        <f t="shared" ca="1" si="2"/>
        <v>89.992165968112516</v>
      </c>
      <c r="D31" s="41">
        <f t="shared" ca="1" si="0"/>
        <v>0.11471893925231408</v>
      </c>
      <c r="E31" s="26">
        <f t="shared" si="13"/>
        <v>28</v>
      </c>
      <c r="F31" s="29">
        <v>100.69071729476988</v>
      </c>
      <c r="G31" s="44">
        <v>0.21134769921145613</v>
      </c>
      <c r="H31" s="46">
        <f t="shared" si="3"/>
        <v>4.4825626211626446E-3</v>
      </c>
      <c r="I31" s="45">
        <f t="shared" si="4"/>
        <v>5.4794520547945119E-3</v>
      </c>
      <c r="J31" s="34" cm="1">
        <f t="array" ref="J31">optionPrice($B$7,F31,$B$5,I31,0,G31,0)*$B$9</f>
        <v>10312.985467975437</v>
      </c>
      <c r="K31" s="37" cm="1">
        <f t="array" ref="K31">OptionDelta($B$7,F31,$B$5,I31,0,G31,0)*$B$9</f>
        <v>6728.5416395134544</v>
      </c>
      <c r="L31" s="38">
        <f t="shared" si="1"/>
        <v>-964.45940729419999</v>
      </c>
      <c r="M31" s="34">
        <f t="shared" si="5"/>
        <v>-2590.0226735783408</v>
      </c>
      <c r="N31" s="34">
        <f t="shared" si="6"/>
        <v>3846.1845693957739</v>
      </c>
      <c r="O31" s="34">
        <f t="shared" si="7"/>
        <v>1256.1618958174331</v>
      </c>
      <c r="P31" s="34" cm="1">
        <f t="array" ref="P31">OptionGamma(F31,$B$5,I31,0,G31,0)*F31^2/100*$B$9</f>
        <v>232267.48252390145</v>
      </c>
      <c r="Q31" s="34" cm="1">
        <f t="array" ref="Q31">OptionTheta($B$7,F31,$B$5,I31,0,G31,0)*$B$9</f>
        <v>-1421.2176795100743</v>
      </c>
      <c r="R31" s="42" cm="1">
        <f t="array" ref="R31">vega(F31,$B$5,I31,0,G31,0)*$B$9</f>
        <v>268.98190703048544</v>
      </c>
      <c r="S31" s="54">
        <f t="shared" si="8"/>
        <v>304.65907958496308</v>
      </c>
      <c r="T31" s="56">
        <f t="shared" si="9"/>
        <v>-846.92032757439597</v>
      </c>
      <c r="U31" s="55">
        <f t="shared" si="10"/>
        <v>2439.9755850537367</v>
      </c>
      <c r="V31" s="57">
        <f t="shared" si="11"/>
        <v>1897.7143370643039</v>
      </c>
      <c r="W31" s="28">
        <f t="shared" si="12"/>
        <v>-641.55244124687079</v>
      </c>
    </row>
    <row r="32" spans="2:23" x14ac:dyDescent="0.15">
      <c r="C32" s="43">
        <f t="shared" ca="1" si="2"/>
        <v>90.623878911251666</v>
      </c>
      <c r="D32" s="41">
        <f t="shared" ca="1" si="0"/>
        <v>0.21079280568915287</v>
      </c>
      <c r="E32" s="26">
        <f t="shared" si="13"/>
        <v>29</v>
      </c>
      <c r="F32" s="29">
        <v>101.32904905754843</v>
      </c>
      <c r="G32" s="44">
        <v>0.13004661543018542</v>
      </c>
      <c r="H32" s="46">
        <f t="shared" si="3"/>
        <v>6.3395294018002701E-3</v>
      </c>
      <c r="I32" s="45">
        <f t="shared" si="4"/>
        <v>2.739726027397249E-3</v>
      </c>
      <c r="J32" s="34" cm="1">
        <f t="array" ref="J32">optionPrice($B$7,F32,$B$5,I32,0,G32,0)*$B$9</f>
        <v>13358.782032339037</v>
      </c>
      <c r="K32" s="37" cm="1">
        <f t="array" ref="K32">OptionDelta($B$7,F32,$B$5,I32,0,G32,0)*$B$9</f>
        <v>9739.9377035889629</v>
      </c>
      <c r="L32" s="38">
        <f t="shared" si="1"/>
        <v>-3011.3960640755085</v>
      </c>
      <c r="M32" s="34">
        <f t="shared" si="5"/>
        <v>-4295.0418456794896</v>
      </c>
      <c r="N32" s="34">
        <f t="shared" si="6"/>
        <v>3045.7965643635998</v>
      </c>
      <c r="O32" s="34">
        <f t="shared" si="7"/>
        <v>-1249.2452813158898</v>
      </c>
      <c r="P32" s="34" cm="1">
        <f t="array" ref="P32">OptionGamma(F32,$B$5,I32,0,G32,0)*F32^2/100*$B$9</f>
        <v>89925.046702852036</v>
      </c>
      <c r="Q32" s="34" cm="1">
        <f t="array" ref="Q32">OptionTheta($B$7,F32,$B$5,I32,0,G32,0)*$B$9</f>
        <v>-208.33196949543355</v>
      </c>
      <c r="R32" s="42" cm="1">
        <f t="array" ref="R32">vega(F32,$B$5,I32,0,G32,0)*$B$9</f>
        <v>32.039583468786887</v>
      </c>
      <c r="S32" s="54">
        <f t="shared" si="8"/>
        <v>466.73724444492609</v>
      </c>
      <c r="T32" s="56">
        <f t="shared" si="9"/>
        <v>-1421.2176795100743</v>
      </c>
      <c r="U32" s="55">
        <f t="shared" si="10"/>
        <v>-2186.8520559131466</v>
      </c>
      <c r="V32" s="57">
        <f t="shared" si="11"/>
        <v>-3141.332490978295</v>
      </c>
      <c r="W32" s="28">
        <f t="shared" si="12"/>
        <v>1892.0872096624053</v>
      </c>
    </row>
    <row r="33" spans="3:23" x14ac:dyDescent="0.15">
      <c r="C33" s="43">
        <f t="shared" ca="1" si="2"/>
        <v>89.970028448536254</v>
      </c>
      <c r="D33" s="41">
        <f t="shared" ca="1" si="0"/>
        <v>0.12757358125314242</v>
      </c>
      <c r="E33" s="26">
        <f t="shared" si="13"/>
        <v>30</v>
      </c>
      <c r="F33" s="29">
        <v>102.06971832158303</v>
      </c>
      <c r="G33" s="44">
        <v>0.26218561766880799</v>
      </c>
      <c r="H33" s="46">
        <f t="shared" si="3"/>
        <v>7.309545198770584E-3</v>
      </c>
      <c r="I33" s="45">
        <f t="shared" si="4"/>
        <v>0</v>
      </c>
      <c r="J33" s="34">
        <f>MAX(F33-$B$5,0)*$B$9</f>
        <v>20697.18321583025</v>
      </c>
      <c r="K33" s="37"/>
      <c r="M33" s="34">
        <f t="shared" si="5"/>
        <v>-7214.0724906600281</v>
      </c>
      <c r="N33" s="34">
        <f t="shared" si="6"/>
        <v>7338.4011834912126</v>
      </c>
      <c r="O33" s="34">
        <f t="shared" si="7"/>
        <v>124.32869283118453</v>
      </c>
      <c r="S33" s="54">
        <f t="shared" si="8"/>
        <v>240.23229388200443</v>
      </c>
      <c r="T33" s="56">
        <f t="shared" si="9"/>
        <v>-208.33196949543355</v>
      </c>
      <c r="U33" s="55">
        <f t="shared" si="10"/>
        <v>423.36785917065652</v>
      </c>
      <c r="V33" s="57">
        <f t="shared" si="11"/>
        <v>455.26818355722742</v>
      </c>
      <c r="W33" s="28">
        <f t="shared" si="12"/>
        <v>-330.93949072604289</v>
      </c>
    </row>
    <row r="34" spans="3:23" s="60" customFormat="1" x14ac:dyDescent="0.15">
      <c r="C34" s="59" t="s">
        <v>36</v>
      </c>
      <c r="I34" s="61"/>
      <c r="K34" s="61"/>
      <c r="L34" s="59"/>
      <c r="M34" s="62">
        <f>SUM(M4:M33)</f>
        <v>-10072.951203982026</v>
      </c>
      <c r="N34" s="62">
        <f>SUM(N4:N33)</f>
        <v>6875.6596890195724</v>
      </c>
      <c r="O34" s="62">
        <f>SUM(O4:O33)</f>
        <v>-3197.2915149624578</v>
      </c>
      <c r="P34" s="61"/>
      <c r="Q34" s="61"/>
      <c r="R34" s="61"/>
      <c r="S34" s="62">
        <f>SUM(S4:S33)</f>
        <v>7238.74798921413</v>
      </c>
      <c r="T34" s="62">
        <f>SUM(T4:T33)</f>
        <v>-17872.737035814353</v>
      </c>
      <c r="U34" s="62">
        <f>SUM(U4:U33)</f>
        <v>7957.0741519917583</v>
      </c>
      <c r="V34" s="62">
        <f>SUM(V4:V33)</f>
        <v>-2676.9148946084642</v>
      </c>
      <c r="W34" s="63">
        <f>SUM(W4:W33)</f>
        <v>-520.37662035399524</v>
      </c>
    </row>
    <row r="35" spans="3:23" x14ac:dyDescent="0.15">
      <c r="C35" s="36"/>
      <c r="E35" s="33"/>
    </row>
    <row r="36" spans="3:23" x14ac:dyDescent="0.15">
      <c r="C36" s="36"/>
    </row>
    <row r="37" spans="3:23" x14ac:dyDescent="0.15">
      <c r="C37" s="36"/>
      <c r="P37" s="53"/>
    </row>
  </sheetData>
  <mergeCells count="2">
    <mergeCell ref="S1:V1"/>
    <mergeCell ref="P1:R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copy">
                <anchor moveWithCells="1" sizeWithCells="1">
                  <from>
                    <xdr:col>0</xdr:col>
                    <xdr:colOff>254000</xdr:colOff>
                    <xdr:row>16</xdr:row>
                    <xdr:rowOff>88900</xdr:rowOff>
                  </from>
                  <to>
                    <xdr:col>1</xdr:col>
                    <xdr:colOff>215900</xdr:colOff>
                    <xdr:row>19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AC0F-3EEA-4AC1-B7A7-2F697828AC84}">
  <sheetPr codeName="Sheet3"/>
  <dimension ref="A1:W37"/>
  <sheetViews>
    <sheetView showGridLines="0" zoomScale="110" zoomScaleNormal="110" workbookViewId="0">
      <selection activeCell="B13" sqref="B13"/>
    </sheetView>
  </sheetViews>
  <sheetFormatPr baseColWidth="10" defaultColWidth="8.83203125" defaultRowHeight="13" x14ac:dyDescent="0.15"/>
  <cols>
    <col min="1" max="1" width="15.83203125" customWidth="1"/>
    <col min="2" max="2" width="12" customWidth="1"/>
    <col min="3" max="3" width="9.83203125" bestFit="1" customWidth="1"/>
    <col min="4" max="4" width="6.33203125" customWidth="1"/>
    <col min="5" max="5" width="5.1640625" bestFit="1" customWidth="1"/>
    <col min="6" max="6" width="7.33203125" bestFit="1" customWidth="1"/>
    <col min="7" max="7" width="4.6640625" bestFit="1" customWidth="1"/>
    <col min="8" max="8" width="9.1640625" customWidth="1"/>
    <col min="9" max="9" width="8.83203125" style="26"/>
    <col min="10" max="10" width="11" customWidth="1"/>
    <col min="11" max="11" width="13.83203125" style="26" customWidth="1"/>
    <col min="12" max="12" width="20.1640625" style="24" bestFit="1" customWidth="1"/>
    <col min="13" max="13" width="14.5" customWidth="1"/>
    <col min="14" max="14" width="10.1640625" style="26" bestFit="1" customWidth="1"/>
    <col min="15" max="15" width="10.33203125" style="26" customWidth="1"/>
    <col min="16" max="16" width="12.5" style="26" customWidth="1"/>
    <col min="17" max="18" width="8.83203125" style="26"/>
    <col min="19" max="19" width="7.33203125" bestFit="1" customWidth="1"/>
    <col min="20" max="20" width="9.33203125" customWidth="1"/>
    <col min="21" max="21" width="10.1640625" style="24" customWidth="1"/>
    <col min="22" max="22" width="7.33203125" bestFit="1" customWidth="1"/>
    <col min="23" max="23" width="9" customWidth="1"/>
  </cols>
  <sheetData>
    <row r="1" spans="1:23" x14ac:dyDescent="0.15">
      <c r="A1" s="31" t="s">
        <v>32</v>
      </c>
      <c r="P1" s="79" t="s">
        <v>37</v>
      </c>
      <c r="Q1" s="80"/>
      <c r="R1" s="81"/>
      <c r="S1" s="76" t="s">
        <v>38</v>
      </c>
      <c r="T1" s="77"/>
      <c r="U1" s="77"/>
      <c r="V1" s="78"/>
    </row>
    <row r="2" spans="1:23" ht="16" thickBot="1" x14ac:dyDescent="0.25">
      <c r="C2" s="32" t="s">
        <v>19</v>
      </c>
      <c r="D2" s="30" t="s">
        <v>27</v>
      </c>
      <c r="E2" s="25" t="s">
        <v>18</v>
      </c>
      <c r="F2" s="24" t="s">
        <v>19</v>
      </c>
      <c r="G2" s="30" t="s">
        <v>27</v>
      </c>
      <c r="H2" s="30" t="s">
        <v>34</v>
      </c>
      <c r="I2" s="32" t="s">
        <v>20</v>
      </c>
      <c r="J2" s="31" t="s">
        <v>22</v>
      </c>
      <c r="K2" s="26" t="s">
        <v>23</v>
      </c>
      <c r="L2" s="30" t="s">
        <v>39</v>
      </c>
      <c r="M2" s="31" t="s">
        <v>40</v>
      </c>
      <c r="N2" s="32" t="s">
        <v>31</v>
      </c>
      <c r="O2" s="61" t="s">
        <v>33</v>
      </c>
      <c r="P2" s="32" t="s">
        <v>35</v>
      </c>
      <c r="Q2" s="26" t="s">
        <v>4</v>
      </c>
      <c r="R2" s="32" t="s">
        <v>3</v>
      </c>
      <c r="S2" s="47" t="s">
        <v>2</v>
      </c>
      <c r="T2" s="48" t="s">
        <v>4</v>
      </c>
      <c r="U2" s="48" t="s">
        <v>3</v>
      </c>
      <c r="V2" s="49" t="s">
        <v>36</v>
      </c>
      <c r="W2" s="67" t="s">
        <v>41</v>
      </c>
    </row>
    <row r="3" spans="1:23" ht="15" x14ac:dyDescent="0.2">
      <c r="A3" s="18" t="s">
        <v>26</v>
      </c>
      <c r="B3" s="5"/>
      <c r="C3" s="43">
        <f>B4</f>
        <v>100</v>
      </c>
      <c r="D3" s="41">
        <f ca="1">$B$13+RAND()*($B$14-$B$13)</f>
        <v>0.18444185297578794</v>
      </c>
      <c r="E3" s="26">
        <v>0</v>
      </c>
      <c r="F3" s="26">
        <v>100</v>
      </c>
      <c r="G3" s="44">
        <v>0.170826541956456</v>
      </c>
      <c r="H3" s="44"/>
      <c r="I3" s="45">
        <f>$B$6-E3/365</f>
        <v>8.2191780821917804E-2</v>
      </c>
      <c r="J3" s="34" cm="1">
        <f t="array" ref="J3">optionPrice($B$7,F3,$B$5,I3,0,G3,0)*$B$9</f>
        <v>19536.025343297184</v>
      </c>
      <c r="K3" s="37" cm="1">
        <f t="array" ref="K3">OptionDelta($B$7,F3,$B$5,I3,0,G3,0)*$B$9</f>
        <v>5097.6801267164865</v>
      </c>
      <c r="L3" s="38">
        <f>-K3</f>
        <v>-5097.6801267164865</v>
      </c>
      <c r="P3" s="34" cm="1">
        <f t="array" ref="P3">OptionGamma(F3,$B$5,I3,0,G3,0)*F3^2/100*$B$9</f>
        <v>81434.852561288586</v>
      </c>
      <c r="Q3" s="34" cm="1">
        <f t="array" ref="Q3">OptionTheta($B$7,F3,$B$5,I3,0,G3,0)*$B$9</f>
        <v>-325.53534830171691</v>
      </c>
      <c r="R3" s="42" cm="1">
        <f t="array" ref="R3">vega(F3,$B$5,I3,0,G3,0)*$B$9</f>
        <v>1143.3891170777074</v>
      </c>
      <c r="S3" s="50"/>
      <c r="T3" s="51"/>
      <c r="U3" s="58"/>
      <c r="V3" s="52"/>
    </row>
    <row r="4" spans="1:23" ht="15" x14ac:dyDescent="0.2">
      <c r="A4" s="6" t="s">
        <v>11</v>
      </c>
      <c r="B4" s="7">
        <v>100</v>
      </c>
      <c r="C4" s="43">
        <f ca="1">C3*EXP($B$10*SQRT(1/365)*_xlfn.NORM.S.INV(RAND()))</f>
        <v>99.945246940646669</v>
      </c>
      <c r="D4" s="41">
        <f t="shared" ref="D4:D33" ca="1" si="0">$B$13+RAND()*($B$14-$B$13)</f>
        <v>0.24518038030248046</v>
      </c>
      <c r="E4" s="24">
        <v>1</v>
      </c>
      <c r="F4" s="29">
        <v>100.03983743528309</v>
      </c>
      <c r="G4" s="44">
        <v>0.14684582273997079</v>
      </c>
      <c r="H4" s="46">
        <f>F4/F3-1</f>
        <v>3.9837435283085476E-4</v>
      </c>
      <c r="I4" s="45">
        <f>$B$6-E4/365</f>
        <v>7.9452054794520541E-2</v>
      </c>
      <c r="J4" s="34" cm="1">
        <f t="array" ref="J4">optionPrice($B$7,F4,$B$5,I4,0,G4,0)*$B$9</f>
        <v>16714.995261258777</v>
      </c>
      <c r="K4" s="37" cm="1">
        <f t="array" ref="K4">OptionDelta($B$7,F4,$B$5,I4,0,G4,0)*$B$9</f>
        <v>5120.934607459415</v>
      </c>
      <c r="L4" s="38">
        <f t="shared" ref="L4:L32" si="1">-(K4-K3)</f>
        <v>-23.254480742928536</v>
      </c>
      <c r="M4" s="34">
        <f>-K3*(F4-F3)</f>
        <v>-203.07850214196165</v>
      </c>
      <c r="N4" s="34">
        <f>J4-J3</f>
        <v>-2821.0300820384073</v>
      </c>
      <c r="O4" s="34">
        <f>M4+N4</f>
        <v>-3024.1085841803688</v>
      </c>
      <c r="P4" s="34" cm="1">
        <f t="array" ref="P4">OptionGamma(F4,$B$5,I4,0,G4,0)*F4^2/100*$B$9</f>
        <v>96376.084020359442</v>
      </c>
      <c r="Q4" s="34" cm="1">
        <f t="array" ref="Q4">OptionTheta($B$7,F4,$B$5,I4,0,G4,0)*$B$9</f>
        <v>-284.68829374648766</v>
      </c>
      <c r="R4" s="42" cm="1">
        <f t="array" ref="R4">vega(F4,$B$5,I4,0,G4,0)*$B$9</f>
        <v>1124.4392744174268</v>
      </c>
      <c r="S4" s="54">
        <f>0.5*P3*H4^2*100</f>
        <v>0.64619420750004575</v>
      </c>
      <c r="T4" s="56">
        <f>Q3</f>
        <v>-325.53534830171691</v>
      </c>
      <c r="U4" s="55">
        <f>R3*(G4-G3)*100</f>
        <v>-2741.9293371825424</v>
      </c>
      <c r="V4" s="57">
        <f>SUM(S4:U4)</f>
        <v>-3066.8184912767592</v>
      </c>
      <c r="W4" s="28">
        <f>O4-V4</f>
        <v>42.709907096390452</v>
      </c>
    </row>
    <row r="5" spans="1:23" ht="15" x14ac:dyDescent="0.2">
      <c r="A5" s="6" t="s">
        <v>12</v>
      </c>
      <c r="B5" s="7">
        <v>100</v>
      </c>
      <c r="C5" s="43">
        <f t="shared" ref="C5:C33" ca="1" si="2">C4*EXP($B$10*SQRT(1/365)*_xlfn.NORM.S.INV(RAND()))</f>
        <v>99.829771263445664</v>
      </c>
      <c r="D5" s="41">
        <f t="shared" ca="1" si="0"/>
        <v>0.24121397841025438</v>
      </c>
      <c r="E5" s="26">
        <f>E4+1</f>
        <v>2</v>
      </c>
      <c r="F5" s="29">
        <v>100.03783017695558</v>
      </c>
      <c r="G5" s="44">
        <v>0.19235214669818923</v>
      </c>
      <c r="H5" s="46">
        <f t="shared" ref="H5:H33" si="3">F5/F4-1</f>
        <v>-2.0064590056989573E-5</v>
      </c>
      <c r="I5" s="45">
        <f t="shared" ref="I5:I33" si="4">$B$6-E5/365</f>
        <v>7.6712328767123278E-2</v>
      </c>
      <c r="J5" s="34" cm="1">
        <f t="array" ref="J5">optionPrice($B$7,F5,$B$5,I5,0,G5,0)*$B$9</f>
        <v>21445.144442380908</v>
      </c>
      <c r="K5" s="37" cm="1">
        <f t="array" ref="K5">OptionDelta($B$7,F5,$B$5,I5,0,G5,0)*$B$9</f>
        <v>5134.5670622767739</v>
      </c>
      <c r="L5" s="38">
        <f t="shared" si="1"/>
        <v>-13.632454817358848</v>
      </c>
      <c r="M5" s="34">
        <f t="shared" ref="M5:M33" si="5">-K4*(F5-F4)</f>
        <v>10.279038635454379</v>
      </c>
      <c r="N5" s="34">
        <f t="shared" ref="N5:N33" si="6">J5-J4</f>
        <v>4730.1491811221313</v>
      </c>
      <c r="O5" s="34">
        <f t="shared" ref="O5:O33" si="7">M5+N5</f>
        <v>4740.4282197575858</v>
      </c>
      <c r="P5" s="34" cm="1">
        <f t="array" ref="P5">OptionGamma(F5,$B$5,I5,0,G5,0)*F5^2/100*$B$9</f>
        <v>74868.227117965609</v>
      </c>
      <c r="Q5" s="34" cm="1">
        <f t="array" ref="Q5">OptionTheta($B$7,F5,$B$5,I5,0,G5,0)*$B$9</f>
        <v>-379.46241297137681</v>
      </c>
      <c r="R5" s="42" cm="1">
        <f t="array" ref="R5">vega(F5,$B$5,I5,0,G5,0)*$B$9</f>
        <v>1104.7391719386069</v>
      </c>
      <c r="S5" s="54">
        <f t="shared" ref="S5:S33" si="8">0.5*P4*H5^2*100</f>
        <v>1.9399916573768048E-3</v>
      </c>
      <c r="T5" s="56">
        <f t="shared" ref="T5:T33" si="9">Q4</f>
        <v>-284.68829374648766</v>
      </c>
      <c r="U5" s="55">
        <f t="shared" ref="U5:U33" si="10">R4*(G5-G4)*100</f>
        <v>5116.90978929835</v>
      </c>
      <c r="V5" s="57">
        <f t="shared" ref="V5:V33" si="11">SUM(S5:U5)</f>
        <v>4832.2234355435194</v>
      </c>
      <c r="W5" s="28">
        <f t="shared" ref="W5:W33" si="12">O5-V5</f>
        <v>-91.795215785933578</v>
      </c>
    </row>
    <row r="6" spans="1:23" ht="15" x14ac:dyDescent="0.2">
      <c r="A6" s="6" t="s">
        <v>10</v>
      </c>
      <c r="B6" s="39">
        <f>30/365</f>
        <v>8.2191780821917804E-2</v>
      </c>
      <c r="C6" s="43">
        <f t="shared" ca="1" si="2"/>
        <v>99.86048875182432</v>
      </c>
      <c r="D6" s="41">
        <f t="shared" ca="1" si="0"/>
        <v>0.28543929239417742</v>
      </c>
      <c r="E6" s="26">
        <f t="shared" ref="E6:E33" si="13">E5+1</f>
        <v>3</v>
      </c>
      <c r="F6" s="29">
        <v>99.864335069778576</v>
      </c>
      <c r="G6" s="44">
        <v>0.102871225369161</v>
      </c>
      <c r="H6" s="46">
        <f t="shared" si="3"/>
        <v>-1.7342949849082911E-3</v>
      </c>
      <c r="I6" s="45">
        <f t="shared" si="4"/>
        <v>7.3972602739726029E-2</v>
      </c>
      <c r="J6" s="34" cm="1">
        <f t="array" ref="J6">optionPrice($B$7,F6,$B$5,I6,0,G6,0)*$B$9</f>
        <v>10488.800188526284</v>
      </c>
      <c r="K6" s="37" cm="1">
        <f t="array" ref="K6">OptionDelta($B$7,F6,$B$5,I6,0,G6,0)*$B$9</f>
        <v>4862.264809515772</v>
      </c>
      <c r="L6" s="38">
        <f t="shared" si="1"/>
        <v>272.30225276100191</v>
      </c>
      <c r="M6" s="34">
        <f t="shared" si="5"/>
        <v>890.82226277722407</v>
      </c>
      <c r="N6" s="34">
        <f t="shared" si="6"/>
        <v>-10956.344253854624</v>
      </c>
      <c r="O6" s="34">
        <f t="shared" si="7"/>
        <v>-10065.521991077399</v>
      </c>
      <c r="P6" s="34" cm="1">
        <f t="array" ref="P6">OptionGamma(F6,$B$5,I6,0,G6,0)*F6^2/100*$B$9</f>
        <v>142308.93846557479</v>
      </c>
      <c r="Q6" s="34" cm="1">
        <f t="array" ref="Q6">OptionTheta($B$7,F6,$B$5,I6,0,G6,0)*$B$9</f>
        <v>-206.2990105736539</v>
      </c>
      <c r="R6" s="42" cm="1">
        <f t="array" ref="R6">vega(F6,$B$5,I6,0,G6,0)*$B$9</f>
        <v>1082.9215391378948</v>
      </c>
      <c r="S6" s="54">
        <f t="shared" si="8"/>
        <v>11.259354419051261</v>
      </c>
      <c r="T6" s="56">
        <f t="shared" si="9"/>
        <v>-379.46241297137681</v>
      </c>
      <c r="U6" s="55">
        <f t="shared" si="10"/>
        <v>-9885.3078933334273</v>
      </c>
      <c r="V6" s="57">
        <f t="shared" si="11"/>
        <v>-10253.510951885753</v>
      </c>
      <c r="W6" s="28">
        <f t="shared" si="12"/>
        <v>187.98896080835402</v>
      </c>
    </row>
    <row r="7" spans="1:23" ht="15" x14ac:dyDescent="0.2">
      <c r="A7" s="23" t="s">
        <v>24</v>
      </c>
      <c r="B7" s="40" t="s">
        <v>25</v>
      </c>
      <c r="C7" s="43">
        <f t="shared" ca="1" si="2"/>
        <v>99.898429052811025</v>
      </c>
      <c r="D7" s="41">
        <f t="shared" ca="1" si="0"/>
        <v>0.23994341474924116</v>
      </c>
      <c r="E7" s="26">
        <f t="shared" si="13"/>
        <v>4</v>
      </c>
      <c r="F7" s="29">
        <v>99.776240948089708</v>
      </c>
      <c r="G7" s="44">
        <v>0.13415552903693367</v>
      </c>
      <c r="H7" s="46">
        <f t="shared" si="3"/>
        <v>-8.8213796874847539E-4</v>
      </c>
      <c r="I7" s="45">
        <f t="shared" si="4"/>
        <v>7.1232876712328766E-2</v>
      </c>
      <c r="J7" s="34" cm="1">
        <f t="array" ref="J7">optionPrice($B$7,F7,$B$5,I7,0,G7,0)*$B$9</f>
        <v>13176.669290985643</v>
      </c>
      <c r="K7" s="37" cm="1">
        <f t="array" ref="K7">OptionDelta($B$7,F7,$B$5,I7,0,G7,0)*$B$9</f>
        <v>4821.890110803467</v>
      </c>
      <c r="L7" s="38">
        <f t="shared" si="1"/>
        <v>40.374698712304962</v>
      </c>
      <c r="M7" s="34">
        <f t="shared" si="5"/>
        <v>428.33694781298618</v>
      </c>
      <c r="N7" s="34">
        <f t="shared" si="6"/>
        <v>2687.8691024593591</v>
      </c>
      <c r="O7" s="34">
        <f t="shared" si="7"/>
        <v>3116.2060502723452</v>
      </c>
      <c r="P7" s="34" cm="1">
        <f t="array" ref="P7">OptionGamma(F7,$B$5,I7,0,G7,0)*F7^2/100*$B$9</f>
        <v>111059.38777062128</v>
      </c>
      <c r="Q7" s="34" cm="1">
        <f t="array" ref="Q7">OptionTheta($B$7,F7,$B$5,I7,0,G7,0)*$B$9</f>
        <v>-273.81016526504879</v>
      </c>
      <c r="R7" s="42" cm="1">
        <f t="array" ref="R7">vega(F7,$B$5,I7,0,G7,0)*$B$9</f>
        <v>1061.3150792959648</v>
      </c>
      <c r="S7" s="54">
        <f t="shared" si="8"/>
        <v>5.5370088030071738</v>
      </c>
      <c r="T7" s="56">
        <f t="shared" si="9"/>
        <v>-206.2990105736539</v>
      </c>
      <c r="U7" s="55">
        <f t="shared" si="10"/>
        <v>3387.8446278761667</v>
      </c>
      <c r="V7" s="57">
        <f t="shared" si="11"/>
        <v>3187.0826261055199</v>
      </c>
      <c r="W7" s="28">
        <f t="shared" si="12"/>
        <v>-70.876575833174684</v>
      </c>
    </row>
    <row r="8" spans="1:23" ht="15" x14ac:dyDescent="0.2">
      <c r="A8" s="6" t="s">
        <v>5</v>
      </c>
      <c r="B8" s="8">
        <v>0.15</v>
      </c>
      <c r="C8" s="43">
        <f t="shared" ca="1" si="2"/>
        <v>100.09790454704162</v>
      </c>
      <c r="D8" s="41">
        <f t="shared" ca="1" si="0"/>
        <v>0.16665125111427598</v>
      </c>
      <c r="E8" s="26">
        <f t="shared" si="13"/>
        <v>5</v>
      </c>
      <c r="F8" s="29">
        <v>99.822138363313925</v>
      </c>
      <c r="G8" s="44">
        <v>0.11637909664646136</v>
      </c>
      <c r="H8" s="46">
        <f t="shared" si="3"/>
        <v>4.6000345160424061E-4</v>
      </c>
      <c r="I8" s="45">
        <f t="shared" si="4"/>
        <v>6.8493150684931503E-2</v>
      </c>
      <c r="J8" s="34" cm="1">
        <f t="array" ref="J8">optionPrice($B$7,F8,$B$5,I8,0,G8,0)*$B$9</f>
        <v>11271.049577717846</v>
      </c>
      <c r="K8" s="37" cm="1">
        <f t="array" ref="K8">OptionDelta($B$7,F8,$B$5,I8,0,G8,0)*$B$9</f>
        <v>4827.6340887025681</v>
      </c>
      <c r="L8" s="38">
        <f t="shared" si="1"/>
        <v>-5.7439778991010826</v>
      </c>
      <c r="M8" s="34">
        <f t="shared" si="5"/>
        <v>-221.31229258109607</v>
      </c>
      <c r="N8" s="34">
        <f t="shared" si="6"/>
        <v>-1905.6197132677971</v>
      </c>
      <c r="O8" s="34">
        <f t="shared" si="7"/>
        <v>-2126.9320058488934</v>
      </c>
      <c r="P8" s="34" cm="1">
        <f t="array" ref="P8">OptionGamma(F8,$B$5,I8,0,G8,0)*F8^2/100*$B$9</f>
        <v>130626.94563057409</v>
      </c>
      <c r="Q8" s="34" cm="1">
        <f t="array" ref="Q8">OptionTheta($B$7,F8,$B$5,I8,0,G8,0)*$B$9</f>
        <v>-242.35940388367604</v>
      </c>
      <c r="R8" s="42" cm="1">
        <f t="array" ref="R8">vega(F8,$B$5,I8,0,G8,0)*$B$9</f>
        <v>1041.249721244701</v>
      </c>
      <c r="S8" s="54">
        <f t="shared" si="8"/>
        <v>1.1750259559998031</v>
      </c>
      <c r="T8" s="56">
        <f t="shared" si="9"/>
        <v>-273.81016526504879</v>
      </c>
      <c r="U8" s="55">
        <f t="shared" si="10"/>
        <v>-1886.6395752093481</v>
      </c>
      <c r="V8" s="57">
        <f t="shared" si="11"/>
        <v>-2159.2747145183971</v>
      </c>
      <c r="W8" s="28">
        <f t="shared" si="12"/>
        <v>32.342708669503736</v>
      </c>
    </row>
    <row r="9" spans="1:23" ht="15" x14ac:dyDescent="0.2">
      <c r="A9" s="6" t="s">
        <v>17</v>
      </c>
      <c r="B9" s="21">
        <v>10000</v>
      </c>
      <c r="C9" s="43">
        <f t="shared" ca="1" si="2"/>
        <v>100.1706136470773</v>
      </c>
      <c r="D9" s="41">
        <f t="shared" ca="1" si="0"/>
        <v>0.2208509719173298</v>
      </c>
      <c r="E9" s="26">
        <f t="shared" si="13"/>
        <v>6</v>
      </c>
      <c r="F9" s="29">
        <v>99.712555665049322</v>
      </c>
      <c r="G9" s="44">
        <v>0.27690338559441285</v>
      </c>
      <c r="H9" s="46">
        <f t="shared" si="3"/>
        <v>-1.0977795112518951E-3</v>
      </c>
      <c r="I9" s="45">
        <f t="shared" si="4"/>
        <v>6.575342465753424E-2</v>
      </c>
      <c r="J9" s="34" cm="1">
        <f t="array" ref="J9">optionPrice($B$7,F9,$B$5,I9,0,G9,0)*$B$9</f>
        <v>26866.152689791179</v>
      </c>
      <c r="K9" s="37" cm="1">
        <f t="array" ref="K9">OptionDelta($B$7,F9,$B$5,I9,0,G9,0)*$B$9</f>
        <v>4979.9000997398662</v>
      </c>
      <c r="L9" s="38">
        <f t="shared" si="1"/>
        <v>-152.26601103729809</v>
      </c>
      <c r="M9" s="34">
        <f t="shared" si="5"/>
        <v>529.0251696742057</v>
      </c>
      <c r="N9" s="34">
        <f t="shared" si="6"/>
        <v>15595.103112073333</v>
      </c>
      <c r="O9" s="34">
        <f t="shared" si="7"/>
        <v>16124.128281747538</v>
      </c>
      <c r="P9" s="34" cm="1">
        <f t="array" ref="P9">OptionGamma(F9,$B$5,I9,0,G9,0)*F9^2/100*$B$9</f>
        <v>56023.075518149606</v>
      </c>
      <c r="Q9" s="34" cm="1">
        <f t="array" ref="Q9">OptionTheta($B$7,F9,$B$5,I9,0,G9,0)*$B$9</f>
        <v>-588.43787451355763</v>
      </c>
      <c r="R9" s="42" cm="1">
        <f t="array" ref="R9">vega(F9,$B$5,I9,0,G9,0)*$B$9</f>
        <v>1020.0315144583294</v>
      </c>
      <c r="S9" s="54">
        <f t="shared" si="8"/>
        <v>7.8710562909896105</v>
      </c>
      <c r="T9" s="56">
        <f t="shared" si="9"/>
        <v>-242.35940388367604</v>
      </c>
      <c r="U9" s="55">
        <f t="shared" si="10"/>
        <v>16714.587112005836</v>
      </c>
      <c r="V9" s="57">
        <f t="shared" si="11"/>
        <v>16480.098764413149</v>
      </c>
      <c r="W9" s="28">
        <f t="shared" si="12"/>
        <v>-355.97048266561069</v>
      </c>
    </row>
    <row r="10" spans="1:23" ht="16" thickBot="1" x14ac:dyDescent="0.25">
      <c r="A10" s="10" t="s">
        <v>21</v>
      </c>
      <c r="B10" s="27">
        <v>0.02</v>
      </c>
      <c r="C10" s="43">
        <f t="shared" ca="1" si="2"/>
        <v>100.10588571501484</v>
      </c>
      <c r="D10" s="41">
        <f t="shared" ca="1" si="0"/>
        <v>0.2779082572589941</v>
      </c>
      <c r="E10" s="26">
        <f t="shared" si="13"/>
        <v>7</v>
      </c>
      <c r="F10" s="29">
        <v>99.631562267158074</v>
      </c>
      <c r="G10" s="44">
        <v>0.11712016083779278</v>
      </c>
      <c r="H10" s="46">
        <f t="shared" si="3"/>
        <v>-8.1226879956142195E-4</v>
      </c>
      <c r="I10" s="45">
        <f t="shared" si="4"/>
        <v>6.3013698630136977E-2</v>
      </c>
      <c r="J10" s="34" cm="1">
        <f t="array" ref="J10">optionPrice($B$7,F10,$B$5,I10,0,G10,0)*$B$9</f>
        <v>9956.8738206028229</v>
      </c>
      <c r="K10" s="37" cm="1">
        <f t="array" ref="K10">OptionDelta($B$7,F10,$B$5,I10,0,G10,0)*$B$9</f>
        <v>4558.6772688642923</v>
      </c>
      <c r="L10" s="38">
        <f t="shared" si="1"/>
        <v>421.22283087557389</v>
      </c>
      <c r="M10" s="34">
        <f t="shared" si="5"/>
        <v>403.33903023689788</v>
      </c>
      <c r="N10" s="34">
        <f t="shared" si="6"/>
        <v>-16909.278869188354</v>
      </c>
      <c r="O10" s="34">
        <f t="shared" si="7"/>
        <v>-16505.939838951457</v>
      </c>
      <c r="P10" s="34" cm="1">
        <f t="array" ref="P10">OptionGamma(F10,$B$5,I10,0,G10,0)*F10^2/100*$B$9</f>
        <v>134366.07306107052</v>
      </c>
      <c r="Q10" s="34" cm="1">
        <f t="array" ref="Q10">OptionTheta($B$7,F10,$B$5,I10,0,G10,0)*$B$9</f>
        <v>-252.48180418267444</v>
      </c>
      <c r="R10" s="42" cm="1">
        <f t="array" ref="R10">vega(F10,$B$5,I10,0,G10,0)*$B$9</f>
        <v>991.64506856238177</v>
      </c>
      <c r="S10" s="54">
        <f t="shared" si="8"/>
        <v>1.848146926638335</v>
      </c>
      <c r="T10" s="56">
        <f t="shared" si="9"/>
        <v>-588.43787451355763</v>
      </c>
      <c r="U10" s="55">
        <f t="shared" si="10"/>
        <v>-16298.392473353082</v>
      </c>
      <c r="V10" s="57">
        <f t="shared" si="11"/>
        <v>-16884.982200940001</v>
      </c>
      <c r="W10" s="28">
        <f t="shared" si="12"/>
        <v>379.04236198854414</v>
      </c>
    </row>
    <row r="11" spans="1:23" x14ac:dyDescent="0.15">
      <c r="C11" s="43">
        <f t="shared" ca="1" si="2"/>
        <v>99.972346697304076</v>
      </c>
      <c r="D11" s="41">
        <f t="shared" ca="1" si="0"/>
        <v>0.15866244184239747</v>
      </c>
      <c r="E11" s="26">
        <f t="shared" si="13"/>
        <v>8</v>
      </c>
      <c r="F11" s="29">
        <v>99.570186169379653</v>
      </c>
      <c r="G11" s="44">
        <v>0.29163926006742968</v>
      </c>
      <c r="H11" s="46">
        <f t="shared" si="3"/>
        <v>-6.1603066720805622E-4</v>
      </c>
      <c r="I11" s="45">
        <f t="shared" si="4"/>
        <v>6.0273972602739721E-2</v>
      </c>
      <c r="J11" s="34" cm="1">
        <f t="array" ref="J11">optionPrice($B$7,F11,$B$5,I11,0,G11,0)*$B$9</f>
        <v>26399.114286749282</v>
      </c>
      <c r="K11" s="37" cm="1">
        <f t="array" ref="K11">OptionDelta($B$7,F11,$B$5,I11,0,G11,0)*$B$9</f>
        <v>4902.8284131761711</v>
      </c>
      <c r="L11" s="38">
        <f t="shared" si="1"/>
        <v>-344.15114431187885</v>
      </c>
      <c r="M11" s="34">
        <f t="shared" si="5"/>
        <v>279.79382179408003</v>
      </c>
      <c r="N11" s="34">
        <f t="shared" si="6"/>
        <v>16442.240466146461</v>
      </c>
      <c r="O11" s="34">
        <f t="shared" si="7"/>
        <v>16722.03428794054</v>
      </c>
      <c r="P11" s="34" cm="1">
        <f t="array" ref="P11">OptionGamma(F11,$B$5,I11,0,G11,0)*F11^2/100*$B$9</f>
        <v>55462.524664542238</v>
      </c>
      <c r="Q11" s="34" cm="1">
        <f t="array" ref="Q11">OptionTheta($B$7,F11,$B$5,I11,0,G11,0)*$B$9</f>
        <v>-646.20267299078841</v>
      </c>
      <c r="R11" s="42" cm="1">
        <f t="array" ref="R11">vega(F11,$B$5,I11,0,G11,0)*$B$9</f>
        <v>974.93449973164581</v>
      </c>
      <c r="S11" s="54">
        <f t="shared" si="8"/>
        <v>2.5495544682422979</v>
      </c>
      <c r="T11" s="56">
        <f t="shared" si="9"/>
        <v>-252.48180418267444</v>
      </c>
      <c r="U11" s="55">
        <f t="shared" si="10"/>
        <v>17306.100412101838</v>
      </c>
      <c r="V11" s="57">
        <f t="shared" si="11"/>
        <v>17056.168162387406</v>
      </c>
      <c r="W11" s="28">
        <f t="shared" si="12"/>
        <v>-334.13387444686668</v>
      </c>
    </row>
    <row r="12" spans="1:23" ht="15" x14ac:dyDescent="0.2">
      <c r="A12" s="66" t="s">
        <v>28</v>
      </c>
      <c r="C12" s="43">
        <f t="shared" ca="1" si="2"/>
        <v>100.07449080647949</v>
      </c>
      <c r="D12" s="41">
        <f t="shared" ca="1" si="0"/>
        <v>0.15782785297753382</v>
      </c>
      <c r="E12" s="26">
        <f t="shared" si="13"/>
        <v>9</v>
      </c>
      <c r="F12" s="29">
        <v>99.564642819174807</v>
      </c>
      <c r="G12" s="44">
        <v>0.22007924342827564</v>
      </c>
      <c r="H12" s="46">
        <f t="shared" si="3"/>
        <v>-5.5672791405836364E-5</v>
      </c>
      <c r="I12" s="45">
        <f t="shared" si="4"/>
        <v>5.7534246575342465E-2</v>
      </c>
      <c r="J12" s="34" cm="1">
        <f t="array" ref="J12">optionPrice($B$7,F12,$B$5,I12,0,G12,0)*$B$9</f>
        <v>18906.350572653351</v>
      </c>
      <c r="K12" s="37" cm="1">
        <f t="array" ref="K12">OptionDelta($B$7,F12,$B$5,I12,0,G12,0)*$B$9</f>
        <v>4775.6852762193812</v>
      </c>
      <c r="L12" s="38">
        <f t="shared" si="1"/>
        <v>127.14313695678993</v>
      </c>
      <c r="M12" s="34">
        <f t="shared" si="5"/>
        <v>27.178094888504255</v>
      </c>
      <c r="N12" s="34">
        <f t="shared" si="6"/>
        <v>-7492.7637140959305</v>
      </c>
      <c r="O12" s="34">
        <f t="shared" si="7"/>
        <v>-7465.5856192074261</v>
      </c>
      <c r="P12" s="34" cm="1">
        <f t="array" ref="P12">OptionGamma(F12,$B$5,I12,0,G12,0)*F12^2/100*$B$9</f>
        <v>75125.204522878208</v>
      </c>
      <c r="Q12" s="34" cm="1">
        <f t="array" ref="Q12">OptionTheta($B$7,F12,$B$5,I12,0,G12,0)*$B$9</f>
        <v>-498.44928346717421</v>
      </c>
      <c r="R12" s="42" cm="1">
        <f t="array" ref="R12">vega(F12,$B$5,I12,0,G12,0)*$B$9</f>
        <v>951.24236068377968</v>
      </c>
      <c r="S12" s="54">
        <f t="shared" si="8"/>
        <v>8.5951930109915715E-3</v>
      </c>
      <c r="T12" s="56">
        <f t="shared" si="9"/>
        <v>-646.20267299078841</v>
      </c>
      <c r="U12" s="55">
        <f t="shared" si="10"/>
        <v>-6976.6329022881891</v>
      </c>
      <c r="V12" s="57">
        <f t="shared" si="11"/>
        <v>-7622.8269800859662</v>
      </c>
      <c r="W12" s="28">
        <f t="shared" si="12"/>
        <v>157.24136087854004</v>
      </c>
    </row>
    <row r="13" spans="1:23" ht="15" x14ac:dyDescent="0.15">
      <c r="A13" s="64" t="s">
        <v>29</v>
      </c>
      <c r="B13" s="65">
        <v>0.1</v>
      </c>
      <c r="C13" s="43">
        <f t="shared" ca="1" si="2"/>
        <v>100.18872525212988</v>
      </c>
      <c r="D13" s="41">
        <f t="shared" ca="1" si="0"/>
        <v>0.19931797945490015</v>
      </c>
      <c r="E13" s="26">
        <f t="shared" si="13"/>
        <v>10</v>
      </c>
      <c r="F13" s="29">
        <v>99.71302190575409</v>
      </c>
      <c r="G13" s="44">
        <v>0.17930005751673433</v>
      </c>
      <c r="H13" s="46">
        <f t="shared" si="3"/>
        <v>1.4902789020070362E-3</v>
      </c>
      <c r="I13" s="45">
        <f t="shared" si="4"/>
        <v>5.4794520547945202E-2</v>
      </c>
      <c r="J13" s="34" cm="1">
        <f t="array" ref="J13">optionPrice($B$7,F13,$B$5,I13,0,G13,0)*$B$9</f>
        <v>15323.023643324874</v>
      </c>
      <c r="K13" s="37" cm="1">
        <f t="array" ref="K13">OptionDelta($B$7,F13,$B$5,I13,0,G13,0)*$B$9</f>
        <v>4810.6206944086352</v>
      </c>
      <c r="L13" s="38">
        <f t="shared" si="1"/>
        <v>-34.935418189254051</v>
      </c>
      <c r="M13" s="34">
        <f t="shared" si="5"/>
        <v>-708.61181907556102</v>
      </c>
      <c r="N13" s="34">
        <f t="shared" si="6"/>
        <v>-3583.3269293284775</v>
      </c>
      <c r="O13" s="34">
        <f t="shared" si="7"/>
        <v>-4291.9387484040381</v>
      </c>
      <c r="P13" s="34" cm="1">
        <f t="array" ref="P13">OptionGamma(F13,$B$5,I13,0,G13,0)*F13^2/100*$B$9</f>
        <v>94672.371159687158</v>
      </c>
      <c r="Q13" s="34" cm="1">
        <f t="array" ref="Q13">OptionTheta($B$7,F13,$B$5,I13,0,G13,0)*$B$9</f>
        <v>-416.92818221491558</v>
      </c>
      <c r="R13" s="42" cm="1">
        <f t="array" ref="R13">vega(F13,$B$5,I13,0,G13,0)*$B$9</f>
        <v>930.12392296863175</v>
      </c>
      <c r="S13" s="54">
        <f t="shared" si="8"/>
        <v>8.3423955532255363</v>
      </c>
      <c r="T13" s="56">
        <f t="shared" si="9"/>
        <v>-498.44928346717421</v>
      </c>
      <c r="U13" s="55">
        <f t="shared" si="10"/>
        <v>-3879.0889073257281</v>
      </c>
      <c r="V13" s="57">
        <f t="shared" si="11"/>
        <v>-4369.195795239677</v>
      </c>
      <c r="W13" s="28">
        <f t="shared" si="12"/>
        <v>77.257046835638903</v>
      </c>
    </row>
    <row r="14" spans="1:23" ht="15" x14ac:dyDescent="0.15">
      <c r="A14" s="64" t="s">
        <v>30</v>
      </c>
      <c r="B14" s="65">
        <v>0.3</v>
      </c>
      <c r="C14" s="43">
        <f t="shared" ca="1" si="2"/>
        <v>100.0910457026763</v>
      </c>
      <c r="D14" s="41">
        <f t="shared" ca="1" si="0"/>
        <v>0.19869802706703274</v>
      </c>
      <c r="E14" s="26">
        <f t="shared" si="13"/>
        <v>11</v>
      </c>
      <c r="F14" s="29">
        <v>99.570679587441248</v>
      </c>
      <c r="G14" s="44">
        <v>0.23197118839801453</v>
      </c>
      <c r="H14" s="46">
        <f t="shared" si="3"/>
        <v>-1.4275198523957533E-3</v>
      </c>
      <c r="I14" s="45">
        <f t="shared" si="4"/>
        <v>5.205479452054794E-2</v>
      </c>
      <c r="J14" s="34" cm="1">
        <f t="array" ref="J14">optionPrice($B$7,F14,$B$5,I14,0,G14,0)*$B$9</f>
        <v>18989.36203296273</v>
      </c>
      <c r="K14" s="37" cm="1">
        <f t="array" ref="K14">OptionDelta($B$7,F14,$B$5,I14,0,G14,0)*$B$9</f>
        <v>4781.3699338428914</v>
      </c>
      <c r="L14" s="38">
        <f t="shared" si="1"/>
        <v>29.250760565743803</v>
      </c>
      <c r="M14" s="34">
        <f t="shared" si="5"/>
        <v>684.75490216585922</v>
      </c>
      <c r="N14" s="34">
        <f t="shared" si="6"/>
        <v>3666.3383896378564</v>
      </c>
      <c r="O14" s="34">
        <f t="shared" si="7"/>
        <v>4351.0932918037161</v>
      </c>
      <c r="P14" s="34" cm="1">
        <f t="array" ref="P14">OptionGamma(F14,$B$5,I14,0,G14,0)*F14^2/100*$B$9</f>
        <v>74941.832436250712</v>
      </c>
      <c r="Q14" s="34" cm="1">
        <f t="array" ref="Q14">OptionTheta($B$7,F14,$B$5,I14,0,G14,0)*$B$9</f>
        <v>-552.42018974348377</v>
      </c>
      <c r="R14" s="42" cm="1">
        <f t="array" ref="R14">vega(F14,$B$5,I14,0,G14,0)*$B$9</f>
        <v>904.93855531034774</v>
      </c>
      <c r="S14" s="54">
        <f t="shared" si="8"/>
        <v>9.6462290983390897</v>
      </c>
      <c r="T14" s="56">
        <f t="shared" si="9"/>
        <v>-416.92818221491558</v>
      </c>
      <c r="U14" s="55">
        <f t="shared" si="10"/>
        <v>4899.0678882490583</v>
      </c>
      <c r="V14" s="57">
        <f t="shared" si="11"/>
        <v>4491.7859351324814</v>
      </c>
      <c r="W14" s="28">
        <f t="shared" si="12"/>
        <v>-140.69264332876537</v>
      </c>
    </row>
    <row r="15" spans="1:23" x14ac:dyDescent="0.15">
      <c r="C15" s="43">
        <f t="shared" ca="1" si="2"/>
        <v>100.02156417043389</v>
      </c>
      <c r="D15" s="41">
        <f t="shared" ca="1" si="0"/>
        <v>0.24195402294726676</v>
      </c>
      <c r="E15" s="26">
        <f t="shared" si="13"/>
        <v>12</v>
      </c>
      <c r="F15" s="29">
        <v>99.560184728403598</v>
      </c>
      <c r="G15" s="44">
        <v>0.20212913657745221</v>
      </c>
      <c r="H15" s="46">
        <f t="shared" si="3"/>
        <v>-1.0540109880874393E-4</v>
      </c>
      <c r="I15" s="45">
        <f t="shared" si="4"/>
        <v>4.9315068493150684E-2</v>
      </c>
      <c r="J15" s="34" cm="1">
        <f t="array" ref="J15">optionPrice($B$7,F15,$B$5,I15,0,G15,0)*$B$9</f>
        <v>15753.350436358247</v>
      </c>
      <c r="K15" s="37" cm="1">
        <f t="array" ref="K15">OptionDelta($B$7,F15,$B$5,I15,0,G15,0)*$B$9</f>
        <v>4698.0665532268813</v>
      </c>
      <c r="L15" s="38">
        <f t="shared" si="1"/>
        <v>83.303380616010145</v>
      </c>
      <c r="M15" s="34">
        <f t="shared" si="5"/>
        <v>50.179803462536483</v>
      </c>
      <c r="N15" s="34">
        <f t="shared" si="6"/>
        <v>-3236.0115966044832</v>
      </c>
      <c r="O15" s="34">
        <f t="shared" si="7"/>
        <v>-3185.8317931419469</v>
      </c>
      <c r="P15" s="34" cm="1">
        <f t="array" ref="P15">OptionGamma(F15,$B$5,I15,0,G15,0)*F15^2/100*$B$9</f>
        <v>88232.954152515231</v>
      </c>
      <c r="Q15" s="34" cm="1">
        <f t="array" ref="Q15">OptionTheta($B$7,F15,$B$5,I15,0,G15,0)*$B$9</f>
        <v>-493.81673283952097</v>
      </c>
      <c r="R15" s="42" cm="1">
        <f t="array" ref="R15">vega(F15,$B$5,I15,0,G15,0)*$B$9</f>
        <v>879.50716473826037</v>
      </c>
      <c r="S15" s="54">
        <f t="shared" si="8"/>
        <v>4.1627908300546801E-2</v>
      </c>
      <c r="T15" s="56">
        <f t="shared" si="9"/>
        <v>-552.42018974348377</v>
      </c>
      <c r="U15" s="55">
        <f t="shared" si="10"/>
        <v>-2700.5223261996198</v>
      </c>
      <c r="V15" s="57">
        <f t="shared" si="11"/>
        <v>-3252.9008880348028</v>
      </c>
      <c r="W15" s="28">
        <f t="shared" si="12"/>
        <v>67.069094892855901</v>
      </c>
    </row>
    <row r="16" spans="1:23" x14ac:dyDescent="0.15">
      <c r="C16" s="43">
        <f t="shared" ca="1" si="2"/>
        <v>99.951889015820711</v>
      </c>
      <c r="D16" s="41">
        <f t="shared" ca="1" si="0"/>
        <v>0.28296923291739862</v>
      </c>
      <c r="E16" s="26">
        <f t="shared" si="13"/>
        <v>13</v>
      </c>
      <c r="F16" s="29">
        <v>99.71610865567142</v>
      </c>
      <c r="G16" s="44">
        <v>0.14188018872521996</v>
      </c>
      <c r="H16" s="46">
        <f t="shared" si="3"/>
        <v>1.5661273398916986E-3</v>
      </c>
      <c r="I16" s="45">
        <f t="shared" si="4"/>
        <v>4.6575342465753421E-2</v>
      </c>
      <c r="J16" s="34" cm="1">
        <f t="array" ref="J16">optionPrice($B$7,F16,$B$5,I16,0,G16,0)*$B$9</f>
        <v>10830.722003057928</v>
      </c>
      <c r="K16" s="37" cm="1">
        <f t="array" ref="K16">OptionDelta($B$7,F16,$B$5,I16,0,G16,0)*$B$9</f>
        <v>4690.979602783691</v>
      </c>
      <c r="L16" s="38">
        <f t="shared" si="1"/>
        <v>7.0869504431902897</v>
      </c>
      <c r="M16" s="34">
        <f t="shared" si="5"/>
        <v>-732.54098754473182</v>
      </c>
      <c r="N16" s="34">
        <f t="shared" si="6"/>
        <v>-4922.6284333003186</v>
      </c>
      <c r="O16" s="34">
        <f t="shared" si="7"/>
        <v>-5655.1694208450508</v>
      </c>
      <c r="P16" s="34" cm="1">
        <f t="array" ref="P16">OptionGamma(F16,$B$5,I16,0,G16,0)*F16^2/100*$B$9</f>
        <v>129529.91998654533</v>
      </c>
      <c r="Q16" s="34" cm="1">
        <f t="array" ref="Q16">OptionTheta($B$7,F16,$B$5,I16,0,G16,0)*$B$9</f>
        <v>-357.18297655395531</v>
      </c>
      <c r="R16" s="42" cm="1">
        <f t="array" ref="R16">vega(F16,$B$5,I16,0,G16,0)*$B$9</f>
        <v>855.94904489126736</v>
      </c>
      <c r="S16" s="54">
        <f t="shared" si="8"/>
        <v>10.820690288236882</v>
      </c>
      <c r="T16" s="56">
        <f t="shared" si="9"/>
        <v>-493.81673283952097</v>
      </c>
      <c r="U16" s="55">
        <f t="shared" si="10"/>
        <v>-5298.938130398009</v>
      </c>
      <c r="V16" s="57">
        <f t="shared" si="11"/>
        <v>-5781.9341729492935</v>
      </c>
      <c r="W16" s="28">
        <f t="shared" si="12"/>
        <v>126.76475210424269</v>
      </c>
    </row>
    <row r="17" spans="2:23" x14ac:dyDescent="0.15">
      <c r="C17" s="43">
        <f t="shared" ca="1" si="2"/>
        <v>99.989410461569335</v>
      </c>
      <c r="D17" s="41">
        <f t="shared" ca="1" si="0"/>
        <v>0.26245028103075574</v>
      </c>
      <c r="E17" s="26">
        <f t="shared" si="13"/>
        <v>14</v>
      </c>
      <c r="F17" s="29">
        <v>99.760042582353435</v>
      </c>
      <c r="G17" s="44">
        <v>0.18067832574901002</v>
      </c>
      <c r="H17" s="46">
        <f t="shared" si="3"/>
        <v>4.4059006387553445E-4</v>
      </c>
      <c r="I17" s="45">
        <f t="shared" si="4"/>
        <v>4.3835616438356158E-2</v>
      </c>
      <c r="J17" s="34" cm="1">
        <f t="array" ref="J17">optionPrice($B$7,F17,$B$5,I17,0,G17,0)*$B$9</f>
        <v>13902.995753883828</v>
      </c>
      <c r="K17" s="37" cm="1">
        <f t="array" ref="K17">OptionDelta($B$7,F17,$B$5,I17,0,G17,0)*$B$9</f>
        <v>4822.1512153707799</v>
      </c>
      <c r="L17" s="38">
        <f t="shared" si="1"/>
        <v>-131.17161258708893</v>
      </c>
      <c r="M17" s="34">
        <f t="shared" si="5"/>
        <v>-206.09315393552919</v>
      </c>
      <c r="N17" s="34">
        <f t="shared" si="6"/>
        <v>3072.2737508258997</v>
      </c>
      <c r="O17" s="34">
        <f t="shared" si="7"/>
        <v>2866.1805968903705</v>
      </c>
      <c r="P17" s="34" cm="1">
        <f t="array" ref="P17">OptionGamma(F17,$B$5,I17,0,G17,0)*F17^2/100*$B$9</f>
        <v>105103.02943082115</v>
      </c>
      <c r="Q17" s="34" cm="1">
        <f t="array" ref="Q17">OptionTheta($B$7,F17,$B$5,I17,0,G17,0)*$B$9</f>
        <v>-470.00717630063986</v>
      </c>
      <c r="R17" s="42" cm="1">
        <f t="array" ref="R17">vega(F17,$B$5,I17,0,G17,0)*$B$9</f>
        <v>832.43131566946568</v>
      </c>
      <c r="S17" s="54">
        <f t="shared" si="8"/>
        <v>1.2572148411959332</v>
      </c>
      <c r="T17" s="56">
        <f t="shared" si="9"/>
        <v>-357.18297655395531</v>
      </c>
      <c r="U17" s="55">
        <f t="shared" si="10"/>
        <v>3320.9228329073626</v>
      </c>
      <c r="V17" s="57">
        <f t="shared" si="11"/>
        <v>2964.9970711946034</v>
      </c>
      <c r="W17" s="28">
        <f t="shared" si="12"/>
        <v>-98.816474304232997</v>
      </c>
    </row>
    <row r="18" spans="2:23" x14ac:dyDescent="0.15">
      <c r="C18" s="43">
        <f t="shared" ca="1" si="2"/>
        <v>99.92403736129954</v>
      </c>
      <c r="D18" s="41">
        <f t="shared" ca="1" si="0"/>
        <v>0.21966013628214973</v>
      </c>
      <c r="E18" s="26">
        <f t="shared" si="13"/>
        <v>15</v>
      </c>
      <c r="F18" s="29">
        <v>99.58734597268014</v>
      </c>
      <c r="G18" s="44">
        <v>0.16089521681704141</v>
      </c>
      <c r="H18" s="46">
        <f t="shared" si="3"/>
        <v>-1.7311200476957112E-3</v>
      </c>
      <c r="I18" s="45">
        <f t="shared" si="4"/>
        <v>4.1095890410958902E-2</v>
      </c>
      <c r="J18" s="34" cm="1">
        <f t="array" ref="J18">optionPrice($B$7,F18,$B$5,I18,0,G18,0)*$B$9</f>
        <v>11025.756606552406</v>
      </c>
      <c r="K18" s="37" cm="1">
        <f t="array" ref="K18">OptionDelta($B$7,F18,$B$5,I18,0,G18,0)*$B$9</f>
        <v>4560.1878613697609</v>
      </c>
      <c r="L18" s="38">
        <f t="shared" si="1"/>
        <v>261.96335400101907</v>
      </c>
      <c r="M18" s="34">
        <f t="shared" si="5"/>
        <v>832.76916622649333</v>
      </c>
      <c r="N18" s="34">
        <f t="shared" si="6"/>
        <v>-2877.2391473314219</v>
      </c>
      <c r="O18" s="34">
        <f t="shared" si="7"/>
        <v>-2044.4699811049286</v>
      </c>
      <c r="P18" s="34" cm="1">
        <f t="array" ref="P18">OptionGamma(F18,$B$5,I18,0,G18,0)*F18^2/100*$B$9</f>
        <v>121065.93693301817</v>
      </c>
      <c r="Q18" s="34" cm="1">
        <f t="array" ref="Q18">OptionTheta($B$7,F18,$B$5,I18,0,G18,0)*$B$9</f>
        <v>-429.32420457360848</v>
      </c>
      <c r="R18" s="42" cm="1">
        <f t="array" ref="R18">vega(F18,$B$5,I18,0,G18,0)*$B$9</f>
        <v>800.50397967107756</v>
      </c>
      <c r="S18" s="54">
        <f t="shared" si="8"/>
        <v>15.748515062023941</v>
      </c>
      <c r="T18" s="56">
        <f t="shared" si="9"/>
        <v>-470.00717630063986</v>
      </c>
      <c r="U18" s="55">
        <f t="shared" si="10"/>
        <v>-1646.8079396270987</v>
      </c>
      <c r="V18" s="57">
        <f t="shared" si="11"/>
        <v>-2101.0666008657145</v>
      </c>
      <c r="W18" s="28">
        <f t="shared" si="12"/>
        <v>56.59661976078587</v>
      </c>
    </row>
    <row r="19" spans="2:23" x14ac:dyDescent="0.15">
      <c r="C19" s="43">
        <f t="shared" ca="1" si="2"/>
        <v>99.914532595885532</v>
      </c>
      <c r="D19" s="41">
        <f t="shared" ca="1" si="0"/>
        <v>0.22669557297971768</v>
      </c>
      <c r="E19" s="26">
        <f t="shared" si="13"/>
        <v>16</v>
      </c>
      <c r="F19" s="29">
        <v>99.553709367671544</v>
      </c>
      <c r="G19" s="44">
        <v>0.14535113775778144</v>
      </c>
      <c r="H19" s="46">
        <f t="shared" si="3"/>
        <v>-3.3775982962558349E-4</v>
      </c>
      <c r="I19" s="45">
        <f t="shared" si="4"/>
        <v>3.8356164383561639E-2</v>
      </c>
      <c r="J19" s="34" cm="1">
        <f t="array" ref="J19">optionPrice($B$7,F19,$B$5,I19,0,G19,0)*$B$9</f>
        <v>9238.941104852287</v>
      </c>
      <c r="K19" s="37" cm="1">
        <f t="array" ref="K19">OptionDelta($B$7,F19,$B$5,I19,0,G19,0)*$B$9</f>
        <v>4431.8680883472507</v>
      </c>
      <c r="L19" s="38">
        <f t="shared" si="1"/>
        <v>128.31977302251016</v>
      </c>
      <c r="M19" s="34">
        <f t="shared" si="5"/>
        <v>153.38923785788725</v>
      </c>
      <c r="N19" s="34">
        <f t="shared" si="6"/>
        <v>-1786.8155017001191</v>
      </c>
      <c r="O19" s="34">
        <f t="shared" si="7"/>
        <v>-1633.4262638422317</v>
      </c>
      <c r="P19" s="34" cm="1">
        <f t="array" ref="P19">OptionGamma(F19,$B$5,I19,0,G19,0)*F19^2/100*$B$9</f>
        <v>138101.24879324908</v>
      </c>
      <c r="Q19" s="34" cm="1">
        <f t="array" ref="Q19">OptionTheta($B$7,F19,$B$5,I19,0,G19,0)*$B$9</f>
        <v>-399.67926392791674</v>
      </c>
      <c r="R19" s="42" cm="1">
        <f t="array" ref="R19">vega(F19,$B$5,I19,0,G19,0)*$B$9</f>
        <v>769.92994775388695</v>
      </c>
      <c r="S19" s="54">
        <f t="shared" si="8"/>
        <v>0.69057041005649999</v>
      </c>
      <c r="T19" s="56">
        <f t="shared" si="9"/>
        <v>-429.32420457360848</v>
      </c>
      <c r="U19" s="55">
        <f t="shared" si="10"/>
        <v>-1244.3097147259468</v>
      </c>
      <c r="V19" s="57">
        <f t="shared" si="11"/>
        <v>-1672.9433488894988</v>
      </c>
      <c r="W19" s="28">
        <f t="shared" si="12"/>
        <v>39.517085047267074</v>
      </c>
    </row>
    <row r="20" spans="2:23" x14ac:dyDescent="0.15">
      <c r="B20" s="35"/>
      <c r="C20" s="43">
        <f t="shared" ca="1" si="2"/>
        <v>99.910093335429224</v>
      </c>
      <c r="D20" s="41">
        <f t="shared" ca="1" si="0"/>
        <v>0.10798370633827908</v>
      </c>
      <c r="E20" s="26">
        <f t="shared" si="13"/>
        <v>17</v>
      </c>
      <c r="F20" s="29">
        <v>99.689071575287173</v>
      </c>
      <c r="G20" s="44">
        <v>0.20721632765913267</v>
      </c>
      <c r="H20" s="46">
        <f t="shared" si="3"/>
        <v>1.3596902463544058E-3</v>
      </c>
      <c r="I20" s="45">
        <f t="shared" si="4"/>
        <v>3.5616438356164376E-2</v>
      </c>
      <c r="J20" s="34" cm="1">
        <f t="array" ref="J20">optionPrice($B$7,F20,$B$5,I20,0,G20,0)*$B$9</f>
        <v>14070.710093483214</v>
      </c>
      <c r="K20" s="37" cm="1">
        <f t="array" ref="K20">OptionDelta($B$7,F20,$B$5,I20,0,G20,0)*$B$9</f>
        <v>4760.4648864846095</v>
      </c>
      <c r="L20" s="38">
        <f t="shared" si="1"/>
        <v>-328.59679813735875</v>
      </c>
      <c r="M20" s="34">
        <f t="shared" si="5"/>
        <v>-599.90744829993889</v>
      </c>
      <c r="N20" s="34">
        <f t="shared" si="6"/>
        <v>4831.7689886309272</v>
      </c>
      <c r="O20" s="34">
        <f t="shared" si="7"/>
        <v>4231.8615403309886</v>
      </c>
      <c r="P20" s="34" cm="1">
        <f t="array" ref="P20">OptionGamma(F20,$B$5,I20,0,G20,0)*F20^2/100*$B$9</f>
        <v>101513.69105579091</v>
      </c>
      <c r="Q20" s="34" cm="1">
        <f t="array" ref="Q20">OptionTheta($B$7,F20,$B$5,I20,0,G20,0)*$B$9</f>
        <v>-597.10362046342186</v>
      </c>
      <c r="R20" s="42" cm="1">
        <f t="array" ref="R20">vega(F20,$B$5,I20,0,G20,0)*$B$9</f>
        <v>749.20226158948356</v>
      </c>
      <c r="S20" s="54">
        <f t="shared" si="8"/>
        <v>12.765786429244541</v>
      </c>
      <c r="T20" s="56">
        <f t="shared" si="9"/>
        <v>-399.67926392791674</v>
      </c>
      <c r="U20" s="55">
        <f t="shared" si="10"/>
        <v>4763.1862428531649</v>
      </c>
      <c r="V20" s="57">
        <f t="shared" si="11"/>
        <v>4376.2727653544925</v>
      </c>
      <c r="W20" s="28">
        <f t="shared" si="12"/>
        <v>-144.4112250235039</v>
      </c>
    </row>
    <row r="21" spans="2:23" x14ac:dyDescent="0.15">
      <c r="C21" s="43">
        <f t="shared" ca="1" si="2"/>
        <v>99.900363692899703</v>
      </c>
      <c r="D21" s="41">
        <f t="shared" ca="1" si="0"/>
        <v>0.24778482312010308</v>
      </c>
      <c r="E21" s="26">
        <f t="shared" si="13"/>
        <v>18</v>
      </c>
      <c r="F21" s="29">
        <v>99.672646293499525</v>
      </c>
      <c r="G21" s="44">
        <v>0.15835707040484864</v>
      </c>
      <c r="H21" s="46">
        <f t="shared" si="3"/>
        <v>-1.647651194669475E-4</v>
      </c>
      <c r="I21" s="45">
        <f t="shared" si="4"/>
        <v>3.287671232876712E-2</v>
      </c>
      <c r="J21" s="34" cm="1">
        <f t="array" ref="J21">optionPrice($B$7,F21,$B$5,I21,0,G21,0)*$B$9</f>
        <v>9873.4785362847069</v>
      </c>
      <c r="K21" s="37" cm="1">
        <f t="array" ref="K21">OptionDelta($B$7,F21,$B$5,I21,0,G21,0)*$B$9</f>
        <v>4602.3627647996791</v>
      </c>
      <c r="L21" s="38">
        <f t="shared" si="1"/>
        <v>158.10212168493035</v>
      </c>
      <c r="M21" s="34">
        <f t="shared" si="5"/>
        <v>78.191977200710369</v>
      </c>
      <c r="N21" s="34">
        <f t="shared" si="6"/>
        <v>-4197.2315571985073</v>
      </c>
      <c r="O21" s="34">
        <f t="shared" si="7"/>
        <v>-4119.0395799977969</v>
      </c>
      <c r="P21" s="34" cm="1">
        <f t="array" ref="P21">OptionGamma(F21,$B$5,I21,0,G21,0)*F21^2/100*$B$9</f>
        <v>137797.05677795227</v>
      </c>
      <c r="Q21" s="34" cm="1">
        <f t="array" ref="Q21">OptionTheta($B$7,F21,$B$5,I21,0,G21,0)*$B$9</f>
        <v>-473.36048242442587</v>
      </c>
      <c r="R21" s="42" cm="1">
        <f t="array" ref="R21">vega(F21,$B$5,I21,0,G21,0)*$B$9</f>
        <v>717.40728400330249</v>
      </c>
      <c r="S21" s="54">
        <f t="shared" si="8"/>
        <v>0.13779237273663963</v>
      </c>
      <c r="T21" s="56">
        <f t="shared" si="9"/>
        <v>-597.10362046342186</v>
      </c>
      <c r="U21" s="55">
        <f t="shared" si="10"/>
        <v>-3660.5466034491974</v>
      </c>
      <c r="V21" s="57">
        <f t="shared" si="11"/>
        <v>-4257.5124315398825</v>
      </c>
      <c r="W21" s="28">
        <f t="shared" si="12"/>
        <v>138.47285154208566</v>
      </c>
    </row>
    <row r="22" spans="2:23" x14ac:dyDescent="0.15">
      <c r="C22" s="43">
        <f t="shared" ca="1" si="2"/>
        <v>99.850369179873454</v>
      </c>
      <c r="D22" s="41">
        <f t="shared" ca="1" si="0"/>
        <v>0.11942304672288778</v>
      </c>
      <c r="E22" s="26">
        <f t="shared" si="13"/>
        <v>19</v>
      </c>
      <c r="F22" s="29">
        <v>99.641738942675886</v>
      </c>
      <c r="G22" s="44">
        <v>0.10444855512378021</v>
      </c>
      <c r="H22" s="46">
        <f t="shared" si="3"/>
        <v>-3.1008859474468409E-4</v>
      </c>
      <c r="I22" s="45">
        <f t="shared" si="4"/>
        <v>3.0136986301369857E-2</v>
      </c>
      <c r="J22" s="34" cm="1">
        <f t="array" ref="J22">optionPrice($B$7,F22,$B$5,I22,0,G22,0)*$B$9</f>
        <v>5570.3550959673721</v>
      </c>
      <c r="K22" s="37" cm="1">
        <f t="array" ref="K22">OptionDelta($B$7,F22,$B$5,I22,0,G22,0)*$B$9</f>
        <v>4250.9712472126603</v>
      </c>
      <c r="L22" s="38">
        <f t="shared" si="1"/>
        <v>351.39151758701882</v>
      </c>
      <c r="M22" s="34">
        <f t="shared" si="5"/>
        <v>142.24684058931908</v>
      </c>
      <c r="N22" s="34">
        <f t="shared" si="6"/>
        <v>-4303.1234403173348</v>
      </c>
      <c r="O22" s="34">
        <f t="shared" si="7"/>
        <v>-4160.8765997280161</v>
      </c>
      <c r="P22" s="34" cm="1">
        <f t="array" ref="P22">OptionGamma(F22,$B$5,I22,0,G22,0)*F22^2/100*$B$9</f>
        <v>215353.98848372986</v>
      </c>
      <c r="Q22" s="34" cm="1">
        <f t="array" ref="Q22">OptionTheta($B$7,F22,$B$5,I22,0,G22,0)*$B$9</f>
        <v>-321.83623028770808</v>
      </c>
      <c r="R22" s="42" cm="1">
        <f t="array" ref="R22">vega(F22,$B$5,I22,0,G22,0)*$B$9</f>
        <v>677.88367756152479</v>
      </c>
      <c r="S22" s="54">
        <f t="shared" si="8"/>
        <v>0.66249336284368121</v>
      </c>
      <c r="T22" s="56">
        <f t="shared" si="9"/>
        <v>-473.36048242442587</v>
      </c>
      <c r="U22" s="55">
        <f t="shared" si="10"/>
        <v>-3867.4361532441835</v>
      </c>
      <c r="V22" s="57">
        <f t="shared" si="11"/>
        <v>-4340.1341423057656</v>
      </c>
      <c r="W22" s="28">
        <f t="shared" si="12"/>
        <v>179.25754257774952</v>
      </c>
    </row>
    <row r="23" spans="2:23" x14ac:dyDescent="0.15">
      <c r="C23" s="43">
        <f t="shared" ca="1" si="2"/>
        <v>99.809037217441812</v>
      </c>
      <c r="D23" s="41">
        <f t="shared" ca="1" si="0"/>
        <v>0.15343839205249407</v>
      </c>
      <c r="E23" s="26">
        <f t="shared" si="13"/>
        <v>20</v>
      </c>
      <c r="F23" s="29">
        <v>99.533255795266456</v>
      </c>
      <c r="G23" s="44">
        <v>0.25528539862146582</v>
      </c>
      <c r="H23" s="46">
        <f t="shared" si="3"/>
        <v>-1.0887319767857173E-3</v>
      </c>
      <c r="I23" s="45">
        <f t="shared" si="4"/>
        <v>2.7397260273972601E-2</v>
      </c>
      <c r="J23" s="34" cm="1">
        <f t="array" ref="J23">optionPrice($B$7,F23,$B$5,I23,0,G23,0)*$B$9</f>
        <v>14586.001017194903</v>
      </c>
      <c r="K23" s="37" cm="1">
        <f t="array" ref="K23">OptionDelta($B$7,F23,$B$5,I23,0,G23,0)*$B$9</f>
        <v>4643.0668332480964</v>
      </c>
      <c r="L23" s="38">
        <f t="shared" si="1"/>
        <v>-392.0955860354361</v>
      </c>
      <c r="M23" s="34">
        <f t="shared" si="5"/>
        <v>461.15874044461998</v>
      </c>
      <c r="N23" s="34">
        <f t="shared" si="6"/>
        <v>9015.6459212275313</v>
      </c>
      <c r="O23" s="34">
        <f t="shared" si="7"/>
        <v>9476.8046616721513</v>
      </c>
      <c r="P23" s="34" cm="1">
        <f t="array" ref="P23">OptionGamma(F23,$B$5,I23,0,G23,0)*F23^2/100*$B$9</f>
        <v>93595.688993867516</v>
      </c>
      <c r="Q23" s="34" cm="1">
        <f t="array" ref="Q23">OptionTheta($B$7,F23,$B$5,I23,0,G23,0)*$B$9</f>
        <v>-835.57403582607606</v>
      </c>
      <c r="R23" s="42" cm="1">
        <f t="array" ref="R23">vega(F23,$B$5,I23,0,G23,0)*$B$9</f>
        <v>654.61952805617011</v>
      </c>
      <c r="S23" s="54">
        <f t="shared" si="8"/>
        <v>12.763355948696702</v>
      </c>
      <c r="T23" s="56">
        <f t="shared" si="9"/>
        <v>-321.83623028770808</v>
      </c>
      <c r="U23" s="55">
        <f t="shared" si="10"/>
        <v>10224.98341819833</v>
      </c>
      <c r="V23" s="57">
        <f t="shared" si="11"/>
        <v>9915.9105438593178</v>
      </c>
      <c r="W23" s="28">
        <f t="shared" si="12"/>
        <v>-439.10588218716657</v>
      </c>
    </row>
    <row r="24" spans="2:23" x14ac:dyDescent="0.15">
      <c r="C24" s="43">
        <f t="shared" ca="1" si="2"/>
        <v>99.761026844207095</v>
      </c>
      <c r="D24" s="41">
        <f t="shared" ca="1" si="0"/>
        <v>0.21203816857643148</v>
      </c>
      <c r="E24" s="26">
        <f t="shared" si="13"/>
        <v>21</v>
      </c>
      <c r="F24" s="29">
        <v>99.357570664017118</v>
      </c>
      <c r="G24" s="44">
        <v>0.14783607598296239</v>
      </c>
      <c r="H24" s="46">
        <f t="shared" si="3"/>
        <v>-1.7650897666877663E-3</v>
      </c>
      <c r="I24" s="45">
        <f t="shared" si="4"/>
        <v>2.4657534246575338E-2</v>
      </c>
      <c r="J24" s="34" cm="1">
        <f t="array" ref="J24">optionPrice($B$7,F24,$B$5,I24,0,G24,0)*$B$9</f>
        <v>6372.5385261807332</v>
      </c>
      <c r="K24" s="37" cm="1">
        <f t="array" ref="K24">OptionDelta($B$7,F24,$B$5,I24,0,G24,0)*$B$9</f>
        <v>3951.1018945368555</v>
      </c>
      <c r="L24" s="38">
        <f t="shared" si="1"/>
        <v>691.96493871124085</v>
      </c>
      <c r="M24" s="34">
        <f t="shared" si="5"/>
        <v>815.71780599864064</v>
      </c>
      <c r="N24" s="34">
        <f t="shared" si="6"/>
        <v>-8213.4624910141702</v>
      </c>
      <c r="O24" s="34">
        <f t="shared" si="7"/>
        <v>-7397.7446850155293</v>
      </c>
      <c r="P24" s="34" cm="1">
        <f t="array" ref="P24">OptionGamma(F24,$B$5,I24,0,G24,0)*F24^2/100*$B$9</f>
        <v>164811.86969631707</v>
      </c>
      <c r="Q24" s="34" cm="1">
        <f t="array" ref="Q24">OptionTheta($B$7,F24,$B$5,I24,0,G24,0)*$B$9</f>
        <v>-493.43105505147042</v>
      </c>
      <c r="R24" s="42" cm="1">
        <f t="array" ref="R24">vega(F24,$B$5,I24,0,G24,0)*$B$9</f>
        <v>600.78427622429979</v>
      </c>
      <c r="S24" s="54">
        <f t="shared" si="8"/>
        <v>14.580064463291789</v>
      </c>
      <c r="T24" s="56">
        <f t="shared" si="9"/>
        <v>-835.57403582607606</v>
      </c>
      <c r="U24" s="55">
        <f t="shared" si="10"/>
        <v>-7033.8424875572273</v>
      </c>
      <c r="V24" s="57">
        <f t="shared" si="11"/>
        <v>-7854.8364589200119</v>
      </c>
      <c r="W24" s="28">
        <f t="shared" si="12"/>
        <v>457.09177390448258</v>
      </c>
    </row>
    <row r="25" spans="2:23" x14ac:dyDescent="0.15">
      <c r="C25" s="43">
        <f t="shared" ca="1" si="2"/>
        <v>99.699393924436919</v>
      </c>
      <c r="D25" s="41">
        <f t="shared" ca="1" si="0"/>
        <v>0.26490713508140851</v>
      </c>
      <c r="E25" s="26">
        <f t="shared" si="13"/>
        <v>22</v>
      </c>
      <c r="F25" s="29">
        <v>99.320075633559597</v>
      </c>
      <c r="G25" s="44">
        <v>0.13188258471661202</v>
      </c>
      <c r="H25" s="46">
        <f t="shared" si="3"/>
        <v>-3.7737467016285553E-4</v>
      </c>
      <c r="I25" s="45">
        <f t="shared" si="4"/>
        <v>2.1917808219178075E-2</v>
      </c>
      <c r="J25" s="34" cm="1">
        <f t="array" ref="J25">optionPrice($B$7,F25,$B$5,I25,0,G25,0)*$B$9</f>
        <v>4832.1556148395221</v>
      </c>
      <c r="K25" s="37" cm="1">
        <f t="array" ref="K25">OptionDelta($B$7,F25,$B$5,I25,0,G25,0)*$B$9</f>
        <v>3670.5492911487695</v>
      </c>
      <c r="L25" s="38">
        <f t="shared" si="1"/>
        <v>280.55260338808603</v>
      </c>
      <c r="M25" s="34">
        <f t="shared" si="5"/>
        <v>148.14668587642748</v>
      </c>
      <c r="N25" s="34">
        <f t="shared" si="6"/>
        <v>-1540.3829113412112</v>
      </c>
      <c r="O25" s="34">
        <f t="shared" si="7"/>
        <v>-1392.2362254647837</v>
      </c>
      <c r="P25" s="34" cm="1">
        <f t="array" ref="P25">OptionGamma(F25,$B$5,I25,0,G25,0)*F25^2/100*$B$9</f>
        <v>191561.6281759798</v>
      </c>
      <c r="Q25" s="34" cm="1">
        <f t="array" ref="Q25">OptionTheta($B$7,F25,$B$5,I25,0,G25,0)*$B$9</f>
        <v>-456.41568395603201</v>
      </c>
      <c r="R25" s="42" cm="1">
        <f t="array" ref="R25">vega(F25,$B$5,I25,0,G25,0)*$B$9</f>
        <v>553.72367466018159</v>
      </c>
      <c r="S25" s="54">
        <f t="shared" si="8"/>
        <v>1.1735564465944557</v>
      </c>
      <c r="T25" s="56">
        <f t="shared" si="9"/>
        <v>-493.43105505147042</v>
      </c>
      <c r="U25" s="55">
        <f t="shared" si="10"/>
        <v>-958.46067037049954</v>
      </c>
      <c r="V25" s="57">
        <f t="shared" si="11"/>
        <v>-1450.7181689753756</v>
      </c>
      <c r="W25" s="28">
        <f t="shared" si="12"/>
        <v>58.481943510591918</v>
      </c>
    </row>
    <row r="26" spans="2:23" x14ac:dyDescent="0.15">
      <c r="C26" s="43">
        <f t="shared" ca="1" si="2"/>
        <v>99.808849243067954</v>
      </c>
      <c r="D26" s="41">
        <f t="shared" ca="1" si="0"/>
        <v>0.28424928863840271</v>
      </c>
      <c r="E26" s="26">
        <f t="shared" si="13"/>
        <v>23</v>
      </c>
      <c r="F26" s="29">
        <v>99.23765897132165</v>
      </c>
      <c r="G26" s="44">
        <v>0.10182360168232732</v>
      </c>
      <c r="H26" s="46">
        <f t="shared" si="3"/>
        <v>-8.2980869388404876E-4</v>
      </c>
      <c r="I26" s="45">
        <f t="shared" si="4"/>
        <v>1.9178082191780813E-2</v>
      </c>
      <c r="J26" s="34" cm="1">
        <f t="array" ref="J26">optionPrice($B$7,F26,$B$5,I26,0,G26,0)*$B$9</f>
        <v>2597.8662318243196</v>
      </c>
      <c r="K26" s="37" cm="1">
        <f t="array" ref="K26">OptionDelta($B$7,F26,$B$5,I26,0,G26,0)*$B$9</f>
        <v>2961.0079438602861</v>
      </c>
      <c r="L26" s="38">
        <f t="shared" si="1"/>
        <v>709.54134728848339</v>
      </c>
      <c r="M26" s="34">
        <f t="shared" si="5"/>
        <v>302.51442115634217</v>
      </c>
      <c r="N26" s="34">
        <f t="shared" si="6"/>
        <v>-2234.2893830152025</v>
      </c>
      <c r="O26" s="34">
        <f t="shared" si="7"/>
        <v>-1931.7749618588603</v>
      </c>
      <c r="P26" s="34" cm="1">
        <f t="array" ref="P26">OptionGamma(F26,$B$5,I26,0,G26,0)*F26^2/100*$B$9</f>
        <v>243238.22481269666</v>
      </c>
      <c r="Q26" s="34" cm="1">
        <f t="array" ref="Q26">OptionTheta($B$7,F26,$B$5,I26,0,G26,0)*$B$9</f>
        <v>-345.46644789812444</v>
      </c>
      <c r="R26" s="42" cm="1">
        <f t="array" ref="R26">vega(F26,$B$5,I26,0,G26,0)*$B$9</f>
        <v>474.99108170057752</v>
      </c>
      <c r="S26" s="54">
        <f t="shared" si="8"/>
        <v>6.5952989394432491</v>
      </c>
      <c r="T26" s="56">
        <f t="shared" si="9"/>
        <v>-456.41568395603201</v>
      </c>
      <c r="U26" s="55">
        <f t="shared" si="10"/>
        <v>-1664.4370542292179</v>
      </c>
      <c r="V26" s="57">
        <f t="shared" si="11"/>
        <v>-2114.2574392458068</v>
      </c>
      <c r="W26" s="28">
        <f t="shared" si="12"/>
        <v>182.48247738694658</v>
      </c>
    </row>
    <row r="27" spans="2:23" x14ac:dyDescent="0.15">
      <c r="C27" s="43">
        <f t="shared" ca="1" si="2"/>
        <v>99.877377056467509</v>
      </c>
      <c r="D27" s="41">
        <f t="shared" ca="1" si="0"/>
        <v>0.1503204071353188</v>
      </c>
      <c r="E27" s="26">
        <f t="shared" si="13"/>
        <v>24</v>
      </c>
      <c r="F27" s="29">
        <v>99.261405688583324</v>
      </c>
      <c r="G27" s="44">
        <v>0.125172116049791</v>
      </c>
      <c r="H27" s="46">
        <f t="shared" si="3"/>
        <v>2.3929138905365299E-4</v>
      </c>
      <c r="I27" s="45">
        <f t="shared" si="4"/>
        <v>1.6438356164383564E-2</v>
      </c>
      <c r="J27" s="34" cm="1">
        <f t="array" ref="J27">optionPrice($B$7,F27,$B$5,I27,0,G27,0)*$B$9</f>
        <v>3354.4613906297373</v>
      </c>
      <c r="K27" s="37" cm="1">
        <f t="array" ref="K27">OptionDelta($B$7,F27,$B$5,I27,0,G27,0)*$B$9</f>
        <v>3249.4765973988315</v>
      </c>
      <c r="L27" s="38">
        <f t="shared" si="1"/>
        <v>-288.46865353854537</v>
      </c>
      <c r="M27" s="34">
        <f t="shared" si="5"/>
        <v>-70.314218452418558</v>
      </c>
      <c r="N27" s="34">
        <f t="shared" si="6"/>
        <v>756.59515880541767</v>
      </c>
      <c r="O27" s="34">
        <f t="shared" si="7"/>
        <v>686.2809403529991</v>
      </c>
      <c r="P27" s="34" cm="1">
        <f t="array" ref="P27">OptionGamma(F27,$B$5,I27,0,G27,0)*F27^2/100*$B$9</f>
        <v>222594.48090654501</v>
      </c>
      <c r="Q27" s="34" cm="1">
        <f t="array" ref="Q27">OptionTheta($B$7,F27,$B$5,I27,0,G27,0)*$B$9</f>
        <v>-477.7566272573751</v>
      </c>
      <c r="R27" s="42" cm="1">
        <f t="array" ref="R27">vega(F27,$B$5,I27,0,G27,0)*$B$9</f>
        <v>458.01570733277333</v>
      </c>
      <c r="S27" s="54">
        <f t="shared" si="8"/>
        <v>0.69639552386651671</v>
      </c>
      <c r="T27" s="56">
        <f t="shared" si="9"/>
        <v>-345.46644789812444</v>
      </c>
      <c r="U27" s="55">
        <f t="shared" si="10"/>
        <v>1109.0336095503051</v>
      </c>
      <c r="V27" s="57">
        <f t="shared" si="11"/>
        <v>764.26355717604713</v>
      </c>
      <c r="W27" s="28">
        <f t="shared" si="12"/>
        <v>-77.982616823048033</v>
      </c>
    </row>
    <row r="28" spans="2:23" x14ac:dyDescent="0.15">
      <c r="C28" s="43">
        <f t="shared" ca="1" si="2"/>
        <v>99.897335768541609</v>
      </c>
      <c r="D28" s="41">
        <f t="shared" ca="1" si="0"/>
        <v>0.15635511071668337</v>
      </c>
      <c r="E28" s="26">
        <f t="shared" si="13"/>
        <v>25</v>
      </c>
      <c r="F28" s="29">
        <v>99.223169191428127</v>
      </c>
      <c r="G28" s="44">
        <v>0.12486656465837263</v>
      </c>
      <c r="H28" s="46">
        <f t="shared" si="3"/>
        <v>-3.8521011152270468E-4</v>
      </c>
      <c r="I28" s="45">
        <f t="shared" si="4"/>
        <v>1.3698630136986301E-2</v>
      </c>
      <c r="J28" s="34" cm="1">
        <f t="array" ref="J28">optionPrice($B$7,F28,$B$5,I28,0,G28,0)*$B$9</f>
        <v>2731.2779210174654</v>
      </c>
      <c r="K28" s="37" cm="1">
        <f t="array" ref="K28">OptionDelta($B$7,F28,$B$5,I28,0,G28,0)*$B$9</f>
        <v>2993.3463029491327</v>
      </c>
      <c r="L28" s="38">
        <f t="shared" si="1"/>
        <v>256.13029444969879</v>
      </c>
      <c r="M28" s="34">
        <f t="shared" si="5"/>
        <v>124.24860267231803</v>
      </c>
      <c r="N28" s="34">
        <f t="shared" si="6"/>
        <v>-623.18346961227189</v>
      </c>
      <c r="O28" s="34">
        <f t="shared" si="7"/>
        <v>-498.93486693995385</v>
      </c>
      <c r="P28" s="34" cm="1">
        <f t="array" ref="P28">OptionGamma(F28,$B$5,I28,0,G28,0)*F28^2/100*$B$9</f>
        <v>235823.4470657573</v>
      </c>
      <c r="Q28" s="34" cm="1">
        <f t="array" ref="Q28">OptionTheta($B$7,F28,$B$5,I28,0,G28,0)*$B$9</f>
        <v>-503.68202242204478</v>
      </c>
      <c r="R28" s="42" cm="1">
        <f t="array" ref="R28">vega(F28,$B$5,I28,0,G28,0)*$B$9</f>
        <v>403.37621508214653</v>
      </c>
      <c r="S28" s="54">
        <f t="shared" si="8"/>
        <v>1.6515044700760755</v>
      </c>
      <c r="T28" s="56">
        <f t="shared" si="9"/>
        <v>-477.7566272573751</v>
      </c>
      <c r="U28" s="55">
        <f t="shared" si="10"/>
        <v>-13.994733666699833</v>
      </c>
      <c r="V28" s="57">
        <f t="shared" si="11"/>
        <v>-490.09985645399888</v>
      </c>
      <c r="W28" s="28">
        <f t="shared" si="12"/>
        <v>-8.8350104859549674</v>
      </c>
    </row>
    <row r="29" spans="2:23" x14ac:dyDescent="0.15">
      <c r="C29" s="43">
        <f t="shared" ca="1" si="2"/>
        <v>99.790557552121285</v>
      </c>
      <c r="D29" s="41">
        <f t="shared" ca="1" si="0"/>
        <v>0.21778917424797811</v>
      </c>
      <c r="E29" s="26">
        <f t="shared" si="13"/>
        <v>26</v>
      </c>
      <c r="F29" s="29">
        <v>99.24182023777206</v>
      </c>
      <c r="G29" s="44">
        <v>0.29528310790625667</v>
      </c>
      <c r="H29" s="46">
        <f t="shared" si="3"/>
        <v>1.8797067757381214E-4</v>
      </c>
      <c r="I29" s="45">
        <f t="shared" si="4"/>
        <v>1.0958904109589038E-2</v>
      </c>
      <c r="J29" s="34" cm="1">
        <f t="array" ref="J29">optionPrice($B$7,F29,$B$5,I29,0,G29,0)*$B$9</f>
        <v>8864.2642691997517</v>
      </c>
      <c r="K29" s="37" cm="1">
        <f t="array" ref="K29">OptionDelta($B$7,F29,$B$5,I29,0,G29,0)*$B$9</f>
        <v>4087.537890548786</v>
      </c>
      <c r="L29" s="38">
        <f t="shared" si="1"/>
        <v>-1094.1915875996533</v>
      </c>
      <c r="M29" s="34">
        <f t="shared" si="5"/>
        <v>-55.829040619745776</v>
      </c>
      <c r="N29" s="34">
        <f t="shared" si="6"/>
        <v>6132.9863481822867</v>
      </c>
      <c r="O29" s="34">
        <f t="shared" si="7"/>
        <v>6077.1573075625411</v>
      </c>
      <c r="P29" s="34" cm="1">
        <f t="array" ref="P29">OptionGamma(F29,$B$5,I29,0,G29,0)*F29^2/100*$B$9</f>
        <v>124715.46390613646</v>
      </c>
      <c r="Q29" s="34" cm="1">
        <f t="array" ref="Q29">OptionTheta($B$7,F29,$B$5,I29,0,G29,0)*$B$9</f>
        <v>-1489.6171127899577</v>
      </c>
      <c r="R29" s="42" cm="1">
        <f t="array" ref="R29">vega(F29,$B$5,I29,0,G29,0)*$B$9</f>
        <v>403.57665519095383</v>
      </c>
      <c r="S29" s="54">
        <f t="shared" si="8"/>
        <v>0.41661720537905633</v>
      </c>
      <c r="T29" s="56">
        <f t="shared" si="9"/>
        <v>-503.68202242204478</v>
      </c>
      <c r="U29" s="55">
        <f t="shared" si="10"/>
        <v>6874.1980202714385</v>
      </c>
      <c r="V29" s="57">
        <f t="shared" si="11"/>
        <v>6370.9326150547731</v>
      </c>
      <c r="W29" s="28">
        <f t="shared" si="12"/>
        <v>-293.77530749223206</v>
      </c>
    </row>
    <row r="30" spans="2:23" x14ac:dyDescent="0.15">
      <c r="C30" s="43">
        <f t="shared" ca="1" si="2"/>
        <v>99.771664838953015</v>
      </c>
      <c r="D30" s="41">
        <f t="shared" ca="1" si="0"/>
        <v>0.10007825097350798</v>
      </c>
      <c r="E30" s="26">
        <f t="shared" si="13"/>
        <v>27</v>
      </c>
      <c r="F30" s="29">
        <v>99.30474311558423</v>
      </c>
      <c r="G30" s="44">
        <v>0.24991783229837447</v>
      </c>
      <c r="H30" s="46">
        <f t="shared" si="3"/>
        <v>6.3403591007715754E-4</v>
      </c>
      <c r="I30" s="45">
        <f t="shared" si="4"/>
        <v>8.2191780821917748E-3</v>
      </c>
      <c r="J30" s="34" cm="1">
        <f t="array" ref="J30">optionPrice($B$7,F30,$B$5,I30,0,G30,0)*$B$9</f>
        <v>5954.7984889987047</v>
      </c>
      <c r="K30" s="37" cm="1">
        <f t="array" ref="K30">OptionDelta($B$7,F30,$B$5,I30,0,G30,0)*$B$9</f>
        <v>3833.8656132837555</v>
      </c>
      <c r="L30" s="38">
        <f t="shared" si="1"/>
        <v>253.67227726503052</v>
      </c>
      <c r="M30" s="34">
        <f t="shared" si="5"/>
        <v>-257.1996472396163</v>
      </c>
      <c r="N30" s="34">
        <f t="shared" si="6"/>
        <v>-2909.465780201047</v>
      </c>
      <c r="O30" s="34">
        <f t="shared" si="7"/>
        <v>-3166.6654274406633</v>
      </c>
      <c r="P30" s="34" cm="1">
        <f t="array" ref="P30">OptionGamma(F30,$B$5,I30,0,G30,0)*F30^2/100*$B$9</f>
        <v>167327.00613220868</v>
      </c>
      <c r="Q30" s="34" cm="1">
        <f t="array" ref="Q30">OptionTheta($B$7,F30,$B$5,I30,0,G30,0)*$B$9</f>
        <v>-1431.6526815369398</v>
      </c>
      <c r="R30" s="42" cm="1">
        <f t="array" ref="R30">vega(F30,$B$5,I30,0,G30,0)*$B$9</f>
        <v>343.70961088387708</v>
      </c>
      <c r="S30" s="54">
        <f t="shared" si="8"/>
        <v>2.5067903980924529</v>
      </c>
      <c r="T30" s="56">
        <f t="shared" si="9"/>
        <v>-1489.6171127899577</v>
      </c>
      <c r="U30" s="55">
        <f t="shared" si="10"/>
        <v>-1830.8366191644861</v>
      </c>
      <c r="V30" s="57">
        <f t="shared" si="11"/>
        <v>-3317.9469415563512</v>
      </c>
      <c r="W30" s="28">
        <f t="shared" si="12"/>
        <v>151.28151411568797</v>
      </c>
    </row>
    <row r="31" spans="2:23" x14ac:dyDescent="0.15">
      <c r="C31" s="43">
        <f t="shared" ca="1" si="2"/>
        <v>99.619788017171388</v>
      </c>
      <c r="D31" s="41">
        <f t="shared" ca="1" si="0"/>
        <v>0.23707818781174353</v>
      </c>
      <c r="E31" s="26">
        <f t="shared" si="13"/>
        <v>28</v>
      </c>
      <c r="F31" s="29">
        <v>99.330771730654547</v>
      </c>
      <c r="G31" s="44">
        <v>0.11654870841434783</v>
      </c>
      <c r="H31" s="46">
        <f t="shared" si="3"/>
        <v>2.6210847794061465E-4</v>
      </c>
      <c r="I31" s="45">
        <f t="shared" si="4"/>
        <v>5.4794520547945119E-3</v>
      </c>
      <c r="J31" s="34" cm="1">
        <f t="array" ref="J31">optionPrice($B$7,F31,$B$5,I31,0,G31,0)*$B$9</f>
        <v>1073.675141654533</v>
      </c>
      <c r="K31" s="37" cm="1">
        <f t="array" ref="K31">OptionDelta($B$7,F31,$B$5,I31,0,G31,0)*$B$9</f>
        <v>2194.6493290388244</v>
      </c>
      <c r="L31" s="38">
        <f t="shared" si="1"/>
        <v>1639.2162842449311</v>
      </c>
      <c r="M31" s="34">
        <f t="shared" si="5"/>
        <v>-99.790212279486227</v>
      </c>
      <c r="N31" s="34">
        <f t="shared" si="6"/>
        <v>-4881.1233473441716</v>
      </c>
      <c r="O31" s="34">
        <f t="shared" si="7"/>
        <v>-4980.9135596236574</v>
      </c>
      <c r="P31" s="34" cm="1">
        <f t="array" ref="P31">OptionGamma(F31,$B$5,I31,0,G31,0)*F31^2/100*$B$9</f>
        <v>340431.40582577023</v>
      </c>
      <c r="Q31" s="34" cm="1">
        <f t="array" ref="Q31">OptionTheta($B$7,F31,$B$5,I31,0,G31,0)*$B$9</f>
        <v>-633.46363452480421</v>
      </c>
      <c r="R31" s="42" cm="1">
        <f t="array" ref="R31">vega(F31,$B$5,I31,0,G31,0)*$B$9</f>
        <v>217.40734604205016</v>
      </c>
      <c r="S31" s="54">
        <f t="shared" si="8"/>
        <v>0.57477541267039156</v>
      </c>
      <c r="T31" s="56">
        <f t="shared" si="9"/>
        <v>-1431.6526815369398</v>
      </c>
      <c r="U31" s="55">
        <f t="shared" si="10"/>
        <v>-4584.0249674102388</v>
      </c>
      <c r="V31" s="57">
        <f t="shared" si="11"/>
        <v>-6015.102873534508</v>
      </c>
      <c r="W31" s="28">
        <f t="shared" si="12"/>
        <v>1034.1893139108506</v>
      </c>
    </row>
    <row r="32" spans="2:23" x14ac:dyDescent="0.15">
      <c r="C32" s="43">
        <f t="shared" ca="1" si="2"/>
        <v>99.598805392703184</v>
      </c>
      <c r="D32" s="41">
        <f t="shared" ca="1" si="0"/>
        <v>0.16315778167880099</v>
      </c>
      <c r="E32" s="26">
        <f t="shared" si="13"/>
        <v>29</v>
      </c>
      <c r="F32" s="29">
        <v>99.232449410464412</v>
      </c>
      <c r="G32" s="44">
        <v>0.29956512659106693</v>
      </c>
      <c r="H32" s="46">
        <f t="shared" si="3"/>
        <v>-9.898475414723551E-4</v>
      </c>
      <c r="I32" s="45">
        <f t="shared" si="4"/>
        <v>2.739726027397249E-3</v>
      </c>
      <c r="J32" s="34" cm="1">
        <f t="array" ref="J32">optionPrice($B$7,F32,$B$5,I32,0,G32,0)*$B$9</f>
        <v>3131.1210164758663</v>
      </c>
      <c r="K32" s="37" cm="1">
        <f t="array" ref="K32">OptionDelta($B$7,F32,$B$5,I32,0,G32,0)*$B$9</f>
        <v>3143.4943552041859</v>
      </c>
      <c r="L32" s="38">
        <f t="shared" si="1"/>
        <v>-948.84502616536156</v>
      </c>
      <c r="M32" s="34">
        <f t="shared" si="5"/>
        <v>215.78301403482092</v>
      </c>
      <c r="N32" s="34">
        <f t="shared" si="6"/>
        <v>2057.4458748213333</v>
      </c>
      <c r="O32" s="34">
        <f t="shared" si="7"/>
        <v>2273.2288888561543</v>
      </c>
      <c r="P32" s="34" cm="1">
        <f t="array" ref="P32">OptionGamma(F32,$B$5,I32,0,G32,0)*F32^2/100*$B$9</f>
        <v>224617.48713190662</v>
      </c>
      <c r="Q32" s="34" cm="1">
        <f t="array" ref="Q32">OptionTheta($B$7,F32,$B$5,I32,0,G32,0)*$B$9</f>
        <v>-2761.2340023260422</v>
      </c>
      <c r="R32" s="42" cm="1">
        <f t="array" ref="R32">vega(F32,$B$5,I32,0,G32,0)*$B$9</f>
        <v>184.3494958006485</v>
      </c>
      <c r="S32" s="54">
        <f t="shared" si="8"/>
        <v>16.677703172715756</v>
      </c>
      <c r="T32" s="56">
        <f t="shared" si="9"/>
        <v>-633.46363452480421</v>
      </c>
      <c r="U32" s="55">
        <f t="shared" si="10"/>
        <v>3978.9113757922528</v>
      </c>
      <c r="V32" s="57">
        <f t="shared" si="11"/>
        <v>3362.1254444401643</v>
      </c>
      <c r="W32" s="28">
        <f t="shared" si="12"/>
        <v>-1088.89655558401</v>
      </c>
    </row>
    <row r="33" spans="3:23" x14ac:dyDescent="0.15">
      <c r="C33" s="43">
        <f t="shared" ca="1" si="2"/>
        <v>99.585402722225737</v>
      </c>
      <c r="D33" s="41">
        <f t="shared" ca="1" si="0"/>
        <v>0.22577926045857152</v>
      </c>
      <c r="E33" s="26">
        <f t="shared" si="13"/>
        <v>30</v>
      </c>
      <c r="F33" s="29">
        <v>99.252206788867923</v>
      </c>
      <c r="G33" s="44">
        <v>0.13708908591642677</v>
      </c>
      <c r="H33" s="46">
        <f t="shared" si="3"/>
        <v>1.9910199255268601E-4</v>
      </c>
      <c r="I33" s="45">
        <f t="shared" si="4"/>
        <v>0</v>
      </c>
      <c r="J33" s="34">
        <f>MAX(F33-$B$5,0)*$B$9</f>
        <v>0</v>
      </c>
      <c r="K33" s="37"/>
      <c r="M33" s="34">
        <f t="shared" si="5"/>
        <v>-62.107207485071299</v>
      </c>
      <c r="N33" s="34">
        <f t="shared" si="6"/>
        <v>-3131.1210164758663</v>
      </c>
      <c r="O33" s="34">
        <f t="shared" si="7"/>
        <v>-3193.2282239609376</v>
      </c>
      <c r="S33" s="54">
        <f t="shared" si="8"/>
        <v>0.44520986751120756</v>
      </c>
      <c r="T33" s="56">
        <f t="shared" si="9"/>
        <v>-2761.2340023260422</v>
      </c>
      <c r="U33" s="55">
        <f t="shared" si="10"/>
        <v>-2995.2376178055574</v>
      </c>
      <c r="V33" s="57">
        <f t="shared" si="11"/>
        <v>-5756.0264102640886</v>
      </c>
      <c r="W33" s="28">
        <f t="shared" si="12"/>
        <v>2562.7981863031509</v>
      </c>
    </row>
    <row r="34" spans="3:23" s="60" customFormat="1" x14ac:dyDescent="0.15">
      <c r="C34" s="59" t="s">
        <v>36</v>
      </c>
      <c r="I34" s="61"/>
      <c r="K34" s="61"/>
      <c r="L34" s="59"/>
      <c r="M34" s="62">
        <f>SUM(M4:M33)</f>
        <v>3361.0910338501703</v>
      </c>
      <c r="N34" s="62">
        <f>SUM(N4:N33)</f>
        <v>-19536.025343297184</v>
      </c>
      <c r="O34" s="62">
        <f>SUM(O4:O33)</f>
        <v>-16174.934309447011</v>
      </c>
      <c r="P34" s="61"/>
      <c r="Q34" s="61"/>
      <c r="R34" s="61"/>
      <c r="S34" s="62">
        <f>SUM(S4:S33)</f>
        <v>149.09146343063782</v>
      </c>
      <c r="T34" s="62">
        <f>SUM(T4:T33)</f>
        <v>-17637.678632814619</v>
      </c>
      <c r="U34" s="62">
        <f>SUM(U4:U33)</f>
        <v>-1471.6407774361965</v>
      </c>
      <c r="V34" s="62">
        <f>SUM(V4:V33)</f>
        <v>-18960.227946820174</v>
      </c>
      <c r="W34" s="63">
        <f>SUM(W4:W33)</f>
        <v>2785.2936373731691</v>
      </c>
    </row>
    <row r="35" spans="3:23" x14ac:dyDescent="0.15">
      <c r="C35" s="36"/>
      <c r="E35" s="33"/>
    </row>
    <row r="36" spans="3:23" x14ac:dyDescent="0.15">
      <c r="C36" s="36"/>
    </row>
    <row r="37" spans="3:23" x14ac:dyDescent="0.15">
      <c r="C37" s="36"/>
      <c r="P37" s="53"/>
    </row>
  </sheetData>
  <mergeCells count="2">
    <mergeCell ref="S1:V1"/>
    <mergeCell ref="P1:R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_xludf.copy">
                <anchor moveWithCells="1" sizeWithCells="1">
                  <from>
                    <xdr:col>0</xdr:col>
                    <xdr:colOff>254000</xdr:colOff>
                    <xdr:row>16</xdr:row>
                    <xdr:rowOff>88900</xdr:rowOff>
                  </from>
                  <to>
                    <xdr:col>1</xdr:col>
                    <xdr:colOff>215900</xdr:colOff>
                    <xdr:row>19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45DBE-5699-C240-A7F8-E07DA4D2B2FA}">
  <sheetPr codeName="Sheet7"/>
  <dimension ref="A1"/>
  <sheetViews>
    <sheetView workbookViewId="0"/>
  </sheetViews>
  <sheetFormatPr baseColWidth="10" defaultRowHeight="13" x14ac:dyDescent="0.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B271E-B724-DF4F-A9D9-F29F6713F101}">
  <sheetPr codeName="Sheet6"/>
  <dimension ref="B2:D9"/>
  <sheetViews>
    <sheetView workbookViewId="0">
      <selection activeCell="B1" sqref="B1:E14"/>
    </sheetView>
  </sheetViews>
  <sheetFormatPr baseColWidth="10" defaultRowHeight="13" x14ac:dyDescent="0.15"/>
  <sheetData>
    <row r="2" spans="2:4" x14ac:dyDescent="0.15">
      <c r="B2">
        <v>13</v>
      </c>
      <c r="D2">
        <v>13</v>
      </c>
    </row>
    <row r="3" spans="2:4" x14ac:dyDescent="0.15">
      <c r="B3">
        <v>14</v>
      </c>
      <c r="D3">
        <v>14</v>
      </c>
    </row>
    <row r="4" spans="2:4" x14ac:dyDescent="0.15">
      <c r="B4">
        <v>15</v>
      </c>
      <c r="D4">
        <v>15</v>
      </c>
    </row>
    <row r="5" spans="2:4" x14ac:dyDescent="0.15">
      <c r="B5">
        <v>16</v>
      </c>
      <c r="D5">
        <v>16</v>
      </c>
    </row>
    <row r="6" spans="2:4" x14ac:dyDescent="0.15">
      <c r="B6">
        <v>1</v>
      </c>
      <c r="D6">
        <v>1</v>
      </c>
    </row>
    <row r="7" spans="2:4" x14ac:dyDescent="0.15">
      <c r="B7">
        <v>3</v>
      </c>
      <c r="D7">
        <v>3</v>
      </c>
    </row>
    <row r="8" spans="2:4" x14ac:dyDescent="0.15">
      <c r="B8">
        <v>4</v>
      </c>
      <c r="D8">
        <v>4</v>
      </c>
    </row>
    <row r="9" spans="2:4" x14ac:dyDescent="0.15">
      <c r="B9">
        <v>5</v>
      </c>
      <c r="D9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E48EB-D60B-DF40-B160-F8AF2DAAA05D}">
  <sheetPr codeName="Sheet4"/>
  <dimension ref="C1:R25"/>
  <sheetViews>
    <sheetView workbookViewId="0">
      <selection activeCell="R19" sqref="R19"/>
    </sheetView>
  </sheetViews>
  <sheetFormatPr baseColWidth="10" defaultRowHeight="13" x14ac:dyDescent="0.15"/>
  <cols>
    <col min="3" max="3" width="20.33203125" customWidth="1"/>
  </cols>
  <sheetData>
    <row r="1" spans="3:18" x14ac:dyDescent="0.15">
      <c r="C1" s="31" t="s">
        <v>49</v>
      </c>
      <c r="G1" s="31" t="s">
        <v>49</v>
      </c>
    </row>
    <row r="2" spans="3:18" x14ac:dyDescent="0.15">
      <c r="C2" s="31" t="s">
        <v>44</v>
      </c>
      <c r="D2">
        <v>1000</v>
      </c>
      <c r="G2" s="82" t="s">
        <v>44</v>
      </c>
      <c r="H2" s="83">
        <v>1000</v>
      </c>
      <c r="J2" s="31" t="s">
        <v>50</v>
      </c>
      <c r="K2">
        <v>2000</v>
      </c>
      <c r="Q2" s="31" t="s">
        <v>58</v>
      </c>
      <c r="R2">
        <f>0.4^2*1*100</f>
        <v>16.000000000000004</v>
      </c>
    </row>
    <row r="3" spans="3:18" x14ac:dyDescent="0.15">
      <c r="C3" s="31" t="s">
        <v>20</v>
      </c>
      <c r="D3">
        <v>100</v>
      </c>
      <c r="G3" s="31" t="s">
        <v>20</v>
      </c>
      <c r="H3">
        <v>100</v>
      </c>
    </row>
    <row r="5" spans="3:18" x14ac:dyDescent="0.15">
      <c r="C5" s="31" t="s">
        <v>45</v>
      </c>
      <c r="D5">
        <f>-D2/D3</f>
        <v>-10</v>
      </c>
      <c r="G5" s="31" t="s">
        <v>45</v>
      </c>
      <c r="H5">
        <f>-K2/H3</f>
        <v>-20</v>
      </c>
    </row>
    <row r="6" spans="3:18" x14ac:dyDescent="0.15">
      <c r="C6" s="31" t="s">
        <v>46</v>
      </c>
      <c r="D6">
        <v>5</v>
      </c>
      <c r="G6" s="31" t="s">
        <v>46</v>
      </c>
      <c r="H6">
        <v>5</v>
      </c>
      <c r="P6" s="32" t="s">
        <v>35</v>
      </c>
      <c r="Q6" s="30" t="s">
        <v>58</v>
      </c>
      <c r="R6" s="31" t="s">
        <v>48</v>
      </c>
    </row>
    <row r="7" spans="3:18" x14ac:dyDescent="0.15">
      <c r="P7" s="26">
        <v>3</v>
      </c>
      <c r="Q7" s="24">
        <v>1</v>
      </c>
      <c r="R7">
        <f>P7*Q7</f>
        <v>3</v>
      </c>
    </row>
    <row r="8" spans="3:18" x14ac:dyDescent="0.15">
      <c r="C8" s="31" t="s">
        <v>47</v>
      </c>
      <c r="G8" s="31" t="s">
        <v>47</v>
      </c>
      <c r="P8" s="26">
        <v>5</v>
      </c>
      <c r="Q8" s="24">
        <v>2</v>
      </c>
      <c r="R8">
        <f t="shared" ref="R8:R10" si="0">P8*Q8</f>
        <v>10</v>
      </c>
    </row>
    <row r="9" spans="3:18" x14ac:dyDescent="0.15">
      <c r="C9" s="31" t="s">
        <v>45</v>
      </c>
      <c r="D9">
        <v>-1000</v>
      </c>
      <c r="G9" s="31" t="s">
        <v>51</v>
      </c>
      <c r="H9">
        <v>1000</v>
      </c>
      <c r="P9" s="26">
        <v>1</v>
      </c>
      <c r="Q9" s="24">
        <v>6</v>
      </c>
      <c r="R9">
        <f t="shared" si="0"/>
        <v>6</v>
      </c>
    </row>
    <row r="10" spans="3:18" x14ac:dyDescent="0.15">
      <c r="C10" s="31" t="s">
        <v>46</v>
      </c>
      <c r="D10">
        <f>D6*100</f>
        <v>500</v>
      </c>
      <c r="G10" s="31" t="s">
        <v>46</v>
      </c>
      <c r="H10">
        <f>H6*100</f>
        <v>500</v>
      </c>
      <c r="P10" s="26">
        <v>1</v>
      </c>
      <c r="Q10" s="24">
        <v>7</v>
      </c>
      <c r="R10">
        <f t="shared" si="0"/>
        <v>7</v>
      </c>
    </row>
    <row r="11" spans="3:18" x14ac:dyDescent="0.15">
      <c r="C11" s="82" t="s">
        <v>48</v>
      </c>
      <c r="D11" s="83">
        <f>D9+D10</f>
        <v>-500</v>
      </c>
      <c r="G11" s="31" t="s">
        <v>45</v>
      </c>
      <c r="H11">
        <f>H5*100</f>
        <v>-2000</v>
      </c>
      <c r="Q11" s="85">
        <f>SUM(Q7:Q10)</f>
        <v>16</v>
      </c>
      <c r="R11">
        <f>SUM(R7:R10)</f>
        <v>26</v>
      </c>
    </row>
    <row r="12" spans="3:18" x14ac:dyDescent="0.15">
      <c r="H12">
        <f>SUM(H9:H11)</f>
        <v>-500</v>
      </c>
    </row>
    <row r="13" spans="3:18" x14ac:dyDescent="0.15">
      <c r="L13" s="31" t="s">
        <v>1</v>
      </c>
      <c r="M13">
        <v>0</v>
      </c>
    </row>
    <row r="14" spans="3:18" x14ac:dyDescent="0.15">
      <c r="L14" s="31" t="s">
        <v>2</v>
      </c>
    </row>
    <row r="15" spans="3:18" x14ac:dyDescent="0.15">
      <c r="Q15">
        <v>300</v>
      </c>
    </row>
    <row r="16" spans="3:18" x14ac:dyDescent="0.15">
      <c r="C16" s="31" t="s">
        <v>52</v>
      </c>
      <c r="P16" s="31" t="s">
        <v>59</v>
      </c>
      <c r="Q16">
        <v>200</v>
      </c>
      <c r="R16">
        <v>0.1</v>
      </c>
    </row>
    <row r="17" spans="3:18" x14ac:dyDescent="0.15">
      <c r="E17" s="31" t="s">
        <v>56</v>
      </c>
      <c r="P17" s="31" t="s">
        <v>60</v>
      </c>
      <c r="Q17">
        <v>50</v>
      </c>
      <c r="R17">
        <v>0.7</v>
      </c>
    </row>
    <row r="18" spans="3:18" x14ac:dyDescent="0.15">
      <c r="C18" s="31" t="s">
        <v>53</v>
      </c>
      <c r="D18">
        <v>300</v>
      </c>
      <c r="E18">
        <v>1</v>
      </c>
      <c r="F18" s="84">
        <f>E18/D18</f>
        <v>3.3333333333333335E-3</v>
      </c>
      <c r="P18" s="31" t="s">
        <v>61</v>
      </c>
      <c r="Q18">
        <v>50</v>
      </c>
      <c r="R18">
        <v>0.2</v>
      </c>
    </row>
    <row r="19" spans="3:18" x14ac:dyDescent="0.15">
      <c r="C19" s="31" t="s">
        <v>54</v>
      </c>
      <c r="D19">
        <v>15000</v>
      </c>
      <c r="E19">
        <v>1</v>
      </c>
      <c r="F19" s="84">
        <f>E19/D19</f>
        <v>6.666666666666667E-5</v>
      </c>
      <c r="R19">
        <f>SUMPRODUCT(Q16:Q18,R16:R18)</f>
        <v>65</v>
      </c>
    </row>
    <row r="22" spans="3:18" x14ac:dyDescent="0.15">
      <c r="C22" s="31" t="s">
        <v>55</v>
      </c>
      <c r="D22" s="30" t="s">
        <v>1</v>
      </c>
      <c r="E22" s="31" t="s">
        <v>57</v>
      </c>
    </row>
    <row r="23" spans="3:18" x14ac:dyDescent="0.15">
      <c r="C23" s="31" t="s">
        <v>53</v>
      </c>
      <c r="D23" s="24">
        <v>5</v>
      </c>
      <c r="E23">
        <f>D23*D18</f>
        <v>1500</v>
      </c>
    </row>
    <row r="24" spans="3:18" x14ac:dyDescent="0.15">
      <c r="C24" s="31" t="s">
        <v>54</v>
      </c>
      <c r="D24" s="24">
        <v>-20</v>
      </c>
      <c r="E24">
        <f>D24*D19</f>
        <v>-300000</v>
      </c>
    </row>
    <row r="25" spans="3:18" x14ac:dyDescent="0.15">
      <c r="D25" s="24">
        <f>SUM(D23:D24)</f>
        <v>-15</v>
      </c>
      <c r="E25">
        <f>SUM(E23:E24)</f>
        <v>-298500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Basic</vt:lpstr>
      <vt:lpstr>Case1</vt:lpstr>
      <vt:lpstr>Case2</vt:lpstr>
      <vt:lpstr>Case3</vt:lpstr>
      <vt:lpstr>Sheet3</vt:lpstr>
      <vt:lpstr>Sheet2</vt:lpstr>
      <vt:lpstr>Sheet1</vt:lpstr>
      <vt:lpstr>Dividend</vt:lpstr>
      <vt:lpstr>RiskFreeRate</vt:lpstr>
      <vt:lpstr>StockPrice</vt:lpstr>
      <vt:lpstr>StrikePrice</vt:lpstr>
      <vt:lpstr>TimeToExpiry</vt:lpstr>
      <vt:lpstr>Volatility</vt:lpstr>
    </vt:vector>
  </TitlesOfParts>
  <Company>www.OptionTradingTips.com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Microsoft Office User</cp:lastModifiedBy>
  <dcterms:created xsi:type="dcterms:W3CDTF">2004-07-13T06:23:33Z</dcterms:created>
  <dcterms:modified xsi:type="dcterms:W3CDTF">2021-10-17T03:22:18Z</dcterms:modified>
</cp:coreProperties>
</file>